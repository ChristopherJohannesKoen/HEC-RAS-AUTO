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stellenbosch-my.sharepoint.com/personal/katelynj_sun_ac_za/Documents/Teaching/2026 Modules/Hydraulic Engineering 424/2026 Katelyn/Assignment 2026/"/>
    </mc:Choice>
  </mc:AlternateContent>
  <xr:revisionPtr revIDLastSave="99" documentId="11_E4FE5107F590A3E7F75D2FC1FFAE340350F50CA6" xr6:coauthVersionLast="47" xr6:coauthVersionMax="47" xr10:uidLastSave="{7C9CA6A2-A911-4F18-98AA-FFF8213071A7}"/>
  <bookViews>
    <workbookView minimized="1" xWindow="540" yWindow="1620" windowWidth="19185" windowHeight="10065" xr2:uid="{00000000-000D-0000-FFFF-FFFF00000000}"/>
  </bookViews>
  <sheets>
    <sheet name="Long Section" sheetId="2" r:id="rId1"/>
    <sheet name="Cross Sections" sheetId="1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E42" i="2"/>
  <c r="D42" i="2"/>
  <c r="I41" i="2"/>
  <c r="E41" i="2"/>
  <c r="D41" i="2"/>
  <c r="I40" i="2"/>
  <c r="E40" i="2"/>
  <c r="D40" i="2"/>
  <c r="I39" i="2"/>
  <c r="E39" i="2"/>
  <c r="D39" i="2"/>
  <c r="I38" i="2"/>
  <c r="E38" i="2"/>
  <c r="D38" i="2"/>
  <c r="I37" i="2"/>
  <c r="E37" i="2"/>
  <c r="D37" i="2"/>
  <c r="I36" i="2"/>
  <c r="E36" i="2"/>
  <c r="D36" i="2"/>
  <c r="I35" i="2"/>
  <c r="E35" i="2"/>
  <c r="D35" i="2"/>
  <c r="I34" i="2"/>
  <c r="E34" i="2"/>
  <c r="D34" i="2"/>
  <c r="I33" i="2"/>
  <c r="E33" i="2"/>
  <c r="D33" i="2"/>
  <c r="I32" i="2"/>
  <c r="E32" i="2"/>
  <c r="D32" i="2"/>
  <c r="I31" i="2"/>
  <c r="E31" i="2"/>
  <c r="D31" i="2"/>
  <c r="I30" i="2"/>
  <c r="E30" i="2"/>
  <c r="D30" i="2"/>
  <c r="I29" i="2"/>
  <c r="E29" i="2"/>
  <c r="D29" i="2"/>
  <c r="I28" i="2"/>
  <c r="E28" i="2"/>
  <c r="D28" i="2"/>
  <c r="I27" i="2"/>
  <c r="E27" i="2"/>
  <c r="D27" i="2"/>
  <c r="I26" i="2"/>
  <c r="E26" i="2"/>
  <c r="D26" i="2"/>
  <c r="I25" i="2"/>
  <c r="E25" i="2"/>
  <c r="D25" i="2"/>
  <c r="I24" i="2"/>
  <c r="E24" i="2"/>
  <c r="D24" i="2"/>
  <c r="E23" i="2"/>
  <c r="D23" i="2"/>
  <c r="I22" i="2"/>
  <c r="E22" i="2"/>
  <c r="D22" i="2"/>
  <c r="I21" i="2"/>
  <c r="E21" i="2"/>
  <c r="D21" i="2"/>
  <c r="I20" i="2"/>
  <c r="E20" i="2"/>
  <c r="D20" i="2"/>
  <c r="I19" i="2"/>
  <c r="E19" i="2"/>
  <c r="D19" i="2"/>
  <c r="I18" i="2"/>
  <c r="E18" i="2"/>
  <c r="D18" i="2"/>
  <c r="I17" i="2"/>
  <c r="E17" i="2"/>
  <c r="D17" i="2"/>
  <c r="I16" i="2"/>
  <c r="E16" i="2"/>
  <c r="D16" i="2"/>
  <c r="I15" i="2"/>
  <c r="E15" i="2"/>
  <c r="D15" i="2"/>
  <c r="I14" i="2"/>
  <c r="E14" i="2"/>
  <c r="D14" i="2"/>
  <c r="I13" i="2"/>
  <c r="E13" i="2"/>
  <c r="D13" i="2"/>
  <c r="I12" i="2"/>
  <c r="E12" i="2"/>
  <c r="D12" i="2"/>
  <c r="I11" i="2"/>
  <c r="E11" i="2"/>
  <c r="D11" i="2"/>
  <c r="I10" i="2"/>
  <c r="E10" i="2"/>
  <c r="D10" i="2"/>
  <c r="I9" i="2"/>
  <c r="E9" i="2"/>
  <c r="D9" i="2"/>
  <c r="I8" i="2"/>
  <c r="E8" i="2"/>
  <c r="D8" i="2"/>
  <c r="I7" i="2"/>
  <c r="E7" i="2"/>
  <c r="D7" i="2"/>
  <c r="I6" i="2"/>
  <c r="E6" i="2"/>
  <c r="D6" i="2"/>
  <c r="I5" i="2"/>
  <c r="E5" i="2"/>
  <c r="D5" i="2"/>
  <c r="I4" i="2"/>
  <c r="E4" i="2"/>
  <c r="D4" i="2"/>
  <c r="I3" i="2"/>
  <c r="E3" i="2"/>
  <c r="D3" i="2"/>
</calcChain>
</file>

<file path=xl/sharedStrings.xml><?xml version="1.0" encoding="utf-8"?>
<sst xmlns="http://schemas.openxmlformats.org/spreadsheetml/2006/main" count="87" uniqueCount="29">
  <si>
    <t xml:space="preserve">Chainage 0 </t>
  </si>
  <si>
    <t xml:space="preserve">Chainage 500 </t>
  </si>
  <si>
    <t xml:space="preserve">Chainage 1000 </t>
  </si>
  <si>
    <t xml:space="preserve">Chainage 1500 </t>
  </si>
  <si>
    <t xml:space="preserve">Chainage 2000 </t>
  </si>
  <si>
    <t xml:space="preserve">Chainage 2500 </t>
  </si>
  <si>
    <t xml:space="preserve">Chainage 3000 </t>
  </si>
  <si>
    <t xml:space="preserve">Chainage 3500 </t>
  </si>
  <si>
    <t xml:space="preserve">Chainage 3905 </t>
  </si>
  <si>
    <t>X (m)</t>
  </si>
  <si>
    <t>Z (m)</t>
  </si>
  <si>
    <t>Coordinates from Civil Designer</t>
  </si>
  <si>
    <t>River Centreline</t>
  </si>
  <si>
    <t>Y</t>
  </si>
  <si>
    <t>X</t>
  </si>
  <si>
    <t>River Name</t>
  </si>
  <si>
    <t>Chainage</t>
  </si>
  <si>
    <t>Ground Level</t>
  </si>
  <si>
    <t>Meerenlust</t>
  </si>
  <si>
    <t>Station 3905</t>
  </si>
  <si>
    <t>Station 3405</t>
  </si>
  <si>
    <t>Station 2905</t>
  </si>
  <si>
    <t>Station 2405</t>
  </si>
  <si>
    <t>Station 1905</t>
  </si>
  <si>
    <t>Station 1405</t>
  </si>
  <si>
    <t>Station 905</t>
  </si>
  <si>
    <t>Station 405</t>
  </si>
  <si>
    <t>Station 0</t>
  </si>
  <si>
    <t>Fill in Elevation obtained from Cape Farm Mapper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</si>
</sst>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0" xfId="0" applyNumberFormat="1"/>
    <xf numFmtId="1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3" borderId="4" xfId="0" applyFill="1" applyBorder="1"/>
    <xf numFmtId="0" fontId="0" fillId="3" borderId="6" xfId="0" applyFill="1" applyBorder="1"/>
    <xf numFmtId="0" fontId="0" fillId="3" borderId="3" xfId="0" applyFill="1" applyBorder="1"/>
    <xf numFmtId="0" fontId="0" fillId="3" borderId="5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Centreline</c:v>
          </c:tx>
          <c:xVal>
            <c:numRef>
              <c:f>[2]Longsection!$D$3:$D$42</c:f>
              <c:numCache>
                <c:formatCode>General</c:formatCode>
                <c:ptCount val="40"/>
                <c:pt idx="0">
                  <c:v>38425.78</c:v>
                </c:pt>
                <c:pt idx="1">
                  <c:v>38370.675999999999</c:v>
                </c:pt>
                <c:pt idx="2">
                  <c:v>38396.144</c:v>
                </c:pt>
                <c:pt idx="3">
                  <c:v>38439.758999999998</c:v>
                </c:pt>
                <c:pt idx="4">
                  <c:v>38453.576999999997</c:v>
                </c:pt>
                <c:pt idx="5">
                  <c:v>38438.262000000002</c:v>
                </c:pt>
                <c:pt idx="6">
                  <c:v>38429.889000000003</c:v>
                </c:pt>
                <c:pt idx="7">
                  <c:v>38421.809000000001</c:v>
                </c:pt>
                <c:pt idx="8">
                  <c:v>38411.144</c:v>
                </c:pt>
                <c:pt idx="9">
                  <c:v>38412.097999999998</c:v>
                </c:pt>
                <c:pt idx="10">
                  <c:v>38401.563999999998</c:v>
                </c:pt>
                <c:pt idx="11">
                  <c:v>38376.343999999997</c:v>
                </c:pt>
                <c:pt idx="12">
                  <c:v>38377.805999999997</c:v>
                </c:pt>
                <c:pt idx="13">
                  <c:v>38357.127999999997</c:v>
                </c:pt>
                <c:pt idx="14">
                  <c:v>38348.453999999998</c:v>
                </c:pt>
                <c:pt idx="15">
                  <c:v>38359.53</c:v>
                </c:pt>
                <c:pt idx="16">
                  <c:v>38424.832000000002</c:v>
                </c:pt>
                <c:pt idx="17">
                  <c:v>38503.063000000002</c:v>
                </c:pt>
                <c:pt idx="18">
                  <c:v>38573.409</c:v>
                </c:pt>
                <c:pt idx="19">
                  <c:v>38633.262000000002</c:v>
                </c:pt>
                <c:pt idx="20">
                  <c:v>38717.680999999997</c:v>
                </c:pt>
                <c:pt idx="21">
                  <c:v>38816.186000000002</c:v>
                </c:pt>
                <c:pt idx="22">
                  <c:v>38914.690999999999</c:v>
                </c:pt>
                <c:pt idx="23">
                  <c:v>39013.196000000004</c:v>
                </c:pt>
                <c:pt idx="24">
                  <c:v>39109.849000000002</c:v>
                </c:pt>
                <c:pt idx="25">
                  <c:v>39204.387999999999</c:v>
                </c:pt>
                <c:pt idx="26">
                  <c:v>39292.089999999997</c:v>
                </c:pt>
                <c:pt idx="27">
                  <c:v>39379.792000000001</c:v>
                </c:pt>
                <c:pt idx="28">
                  <c:v>39463.319000000003</c:v>
                </c:pt>
                <c:pt idx="29">
                  <c:v>39543.571000000004</c:v>
                </c:pt>
                <c:pt idx="30">
                  <c:v>39636.038999999997</c:v>
                </c:pt>
                <c:pt idx="31">
                  <c:v>39730.648999999998</c:v>
                </c:pt>
                <c:pt idx="32">
                  <c:v>39830.565000000002</c:v>
                </c:pt>
                <c:pt idx="33">
                  <c:v>39925.732000000004</c:v>
                </c:pt>
                <c:pt idx="34">
                  <c:v>40016.815999999999</c:v>
                </c:pt>
                <c:pt idx="35">
                  <c:v>40056.207999999999</c:v>
                </c:pt>
                <c:pt idx="36">
                  <c:v>40113.506999999998</c:v>
                </c:pt>
                <c:pt idx="37">
                  <c:v>40197.197</c:v>
                </c:pt>
                <c:pt idx="38">
                  <c:v>40253.909</c:v>
                </c:pt>
                <c:pt idx="39">
                  <c:v>40286.006000000001</c:v>
                </c:pt>
              </c:numCache>
            </c:numRef>
          </c:xVal>
          <c:yVal>
            <c:numRef>
              <c:f>[2]Longsection!$E$3:$E$42</c:f>
              <c:numCache>
                <c:formatCode>General</c:formatCode>
                <c:ptCount val="40"/>
                <c:pt idx="0">
                  <c:v>-3768037.023</c:v>
                </c:pt>
                <c:pt idx="1">
                  <c:v>-3768116.39</c:v>
                </c:pt>
                <c:pt idx="2">
                  <c:v>-3768213.0090000001</c:v>
                </c:pt>
                <c:pt idx="3">
                  <c:v>-3768302.628</c:v>
                </c:pt>
                <c:pt idx="4">
                  <c:v>-3768399.7259999998</c:v>
                </c:pt>
                <c:pt idx="5">
                  <c:v>-3768497.6850000001</c:v>
                </c:pt>
                <c:pt idx="6">
                  <c:v>-3768596.6519999998</c:v>
                </c:pt>
                <c:pt idx="7">
                  <c:v>-3768695.9580000001</c:v>
                </c:pt>
                <c:pt idx="8">
                  <c:v>-3768795.2450000001</c:v>
                </c:pt>
                <c:pt idx="9">
                  <c:v>-3768894.8670000001</c:v>
                </c:pt>
                <c:pt idx="10">
                  <c:v>-3768992.2609999999</c:v>
                </c:pt>
                <c:pt idx="11">
                  <c:v>-3769088.7609999999</c:v>
                </c:pt>
                <c:pt idx="12">
                  <c:v>-3769182.0350000001</c:v>
                </c:pt>
                <c:pt idx="13">
                  <c:v>-3769279.8259999999</c:v>
                </c:pt>
                <c:pt idx="14">
                  <c:v>-3769379.344</c:v>
                </c:pt>
                <c:pt idx="15">
                  <c:v>-3769475.966</c:v>
                </c:pt>
                <c:pt idx="16">
                  <c:v>-3769547.2680000002</c:v>
                </c:pt>
                <c:pt idx="17">
                  <c:v>-3769609.557</c:v>
                </c:pt>
                <c:pt idx="18">
                  <c:v>-3769679.4909999999</c:v>
                </c:pt>
                <c:pt idx="19">
                  <c:v>-3769759.6009999998</c:v>
                </c:pt>
                <c:pt idx="20">
                  <c:v>-3769812.5729999999</c:v>
                </c:pt>
                <c:pt idx="21">
                  <c:v>-3769829.8</c:v>
                </c:pt>
                <c:pt idx="22">
                  <c:v>-3769847.0269999998</c:v>
                </c:pt>
                <c:pt idx="23">
                  <c:v>-3769864.2549999999</c:v>
                </c:pt>
                <c:pt idx="24">
                  <c:v>-3769889.8160000001</c:v>
                </c:pt>
                <c:pt idx="25">
                  <c:v>-3769920.8739999998</c:v>
                </c:pt>
                <c:pt idx="26">
                  <c:v>-3769968.92</c:v>
                </c:pt>
                <c:pt idx="27">
                  <c:v>-3770016.9649999999</c:v>
                </c:pt>
                <c:pt idx="28">
                  <c:v>-3770071.52</c:v>
                </c:pt>
                <c:pt idx="29">
                  <c:v>-3770131.1839999999</c:v>
                </c:pt>
                <c:pt idx="30">
                  <c:v>-3770168.7940000002</c:v>
                </c:pt>
                <c:pt idx="31">
                  <c:v>-3770198.19</c:v>
                </c:pt>
                <c:pt idx="32">
                  <c:v>-3770202.2689999999</c:v>
                </c:pt>
                <c:pt idx="33">
                  <c:v>-3770226.656</c:v>
                </c:pt>
                <c:pt idx="34">
                  <c:v>-3770267.585</c:v>
                </c:pt>
                <c:pt idx="35">
                  <c:v>-3770359.4989999998</c:v>
                </c:pt>
                <c:pt idx="36">
                  <c:v>-3770439.1970000002</c:v>
                </c:pt>
                <c:pt idx="37">
                  <c:v>-3770493.9330000002</c:v>
                </c:pt>
                <c:pt idx="38">
                  <c:v>-3770569.0989999999</c:v>
                </c:pt>
                <c:pt idx="39">
                  <c:v>-3770653.196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51-4244-AE54-6A88D6F1A638}"/>
            </c:ext>
          </c:extLst>
        </c:ser>
        <c:ser>
          <c:idx val="1"/>
          <c:order val="1"/>
          <c:xVal>
            <c:numRef>
              <c:f>[2]Longsection!$D$43</c:f>
              <c:numCache>
                <c:formatCode>General</c:formatCode>
                <c:ptCount val="1"/>
                <c:pt idx="0">
                  <c:v>40293.006000000001</c:v>
                </c:pt>
              </c:numCache>
            </c:numRef>
          </c:xVal>
          <c:yVal>
            <c:numRef>
              <c:f>[2]Longsection!$E$43</c:f>
              <c:numCache>
                <c:formatCode>General</c:formatCode>
                <c:ptCount val="1"/>
                <c:pt idx="0">
                  <c:v>-3770666.4620759031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151-4244-AE54-6A88D6F1A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536128"/>
        <c:axId val="83534592"/>
      </c:scatterChart>
      <c:valAx>
        <c:axId val="83536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3534592"/>
        <c:crosses val="autoZero"/>
        <c:crossBetween val="midCat"/>
      </c:valAx>
      <c:valAx>
        <c:axId val="835345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8353612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xVal>
            <c:numRef>
              <c:f>'Cross Sections'!$B$7:$B$63</c:f>
              <c:numCache>
                <c:formatCode>General</c:formatCode>
                <c:ptCount val="57"/>
                <c:pt idx="0">
                  <c:v>-210.61</c:v>
                </c:pt>
                <c:pt idx="1">
                  <c:v>-203.03800000000001</c:v>
                </c:pt>
                <c:pt idx="2">
                  <c:v>-198.46100000000001</c:v>
                </c:pt>
                <c:pt idx="3">
                  <c:v>-193.82</c:v>
                </c:pt>
                <c:pt idx="4">
                  <c:v>-192.62299999999999</c:v>
                </c:pt>
                <c:pt idx="5">
                  <c:v>-191.40799999999999</c:v>
                </c:pt>
                <c:pt idx="6">
                  <c:v>-189.21899999999999</c:v>
                </c:pt>
                <c:pt idx="7">
                  <c:v>-184.37200000000001</c:v>
                </c:pt>
                <c:pt idx="8">
                  <c:v>-178.642</c:v>
                </c:pt>
                <c:pt idx="9">
                  <c:v>-178.09299999999999</c:v>
                </c:pt>
                <c:pt idx="10">
                  <c:v>-174.703</c:v>
                </c:pt>
                <c:pt idx="11">
                  <c:v>-168.57599999999999</c:v>
                </c:pt>
                <c:pt idx="12">
                  <c:v>-164.41</c:v>
                </c:pt>
                <c:pt idx="13">
                  <c:v>-157.02500000000001</c:v>
                </c:pt>
                <c:pt idx="14">
                  <c:v>-153.18799999999999</c:v>
                </c:pt>
                <c:pt idx="15">
                  <c:v>-151.399</c:v>
                </c:pt>
                <c:pt idx="16">
                  <c:v>-149.91200000000001</c:v>
                </c:pt>
                <c:pt idx="17">
                  <c:v>-141.483</c:v>
                </c:pt>
                <c:pt idx="18">
                  <c:v>-131.86099999999999</c:v>
                </c:pt>
                <c:pt idx="19">
                  <c:v>-130.49799999999999</c:v>
                </c:pt>
                <c:pt idx="20">
                  <c:v>-128.47200000000001</c:v>
                </c:pt>
                <c:pt idx="21">
                  <c:v>-123.52800000000001</c:v>
                </c:pt>
                <c:pt idx="22">
                  <c:v>-116.46899999999999</c:v>
                </c:pt>
                <c:pt idx="23">
                  <c:v>-109.601</c:v>
                </c:pt>
                <c:pt idx="24">
                  <c:v>-106.59099999999999</c:v>
                </c:pt>
                <c:pt idx="25">
                  <c:v>-98.388000000000005</c:v>
                </c:pt>
                <c:pt idx="26">
                  <c:v>-96.718999999999994</c:v>
                </c:pt>
                <c:pt idx="27">
                  <c:v>-88.954999999999998</c:v>
                </c:pt>
                <c:pt idx="28">
                  <c:v>-87.381</c:v>
                </c:pt>
                <c:pt idx="29">
                  <c:v>-77.344999999999999</c:v>
                </c:pt>
                <c:pt idx="30">
                  <c:v>-74.441000000000003</c:v>
                </c:pt>
                <c:pt idx="31">
                  <c:v>-66.838999999999999</c:v>
                </c:pt>
                <c:pt idx="32">
                  <c:v>-62.531999999999996</c:v>
                </c:pt>
                <c:pt idx="33">
                  <c:v>-57.600999999999999</c:v>
                </c:pt>
                <c:pt idx="34">
                  <c:v>-50.497999999999998</c:v>
                </c:pt>
                <c:pt idx="35">
                  <c:v>-47.762999999999998</c:v>
                </c:pt>
                <c:pt idx="36">
                  <c:v>-39.854999999999997</c:v>
                </c:pt>
                <c:pt idx="37">
                  <c:v>-36.624000000000002</c:v>
                </c:pt>
                <c:pt idx="38">
                  <c:v>-29.98</c:v>
                </c:pt>
                <c:pt idx="39">
                  <c:v>-29.085999999999999</c:v>
                </c:pt>
                <c:pt idx="40">
                  <c:v>-28.353000000000002</c:v>
                </c:pt>
                <c:pt idx="41">
                  <c:v>-21.016999999999999</c:v>
                </c:pt>
                <c:pt idx="42">
                  <c:v>-13.364000000000001</c:v>
                </c:pt>
                <c:pt idx="43">
                  <c:v>-12.717000000000001</c:v>
                </c:pt>
                <c:pt idx="44">
                  <c:v>-12.443</c:v>
                </c:pt>
                <c:pt idx="45">
                  <c:v>-7.4</c:v>
                </c:pt>
                <c:pt idx="46">
                  <c:v>-7.1189999999999998</c:v>
                </c:pt>
                <c:pt idx="47">
                  <c:v>-6.806</c:v>
                </c:pt>
                <c:pt idx="48">
                  <c:v>-5.1859999999999999</c:v>
                </c:pt>
                <c:pt idx="49">
                  <c:v>-2.8759999999999999</c:v>
                </c:pt>
                <c:pt idx="50">
                  <c:v>0.192</c:v>
                </c:pt>
                <c:pt idx="51">
                  <c:v>2.6659999999999999</c:v>
                </c:pt>
                <c:pt idx="52">
                  <c:v>6.6669999999999998</c:v>
                </c:pt>
                <c:pt idx="53">
                  <c:v>10.084</c:v>
                </c:pt>
                <c:pt idx="54">
                  <c:v>10.375999999999999</c:v>
                </c:pt>
                <c:pt idx="55">
                  <c:v>10.500999999999999</c:v>
                </c:pt>
                <c:pt idx="56">
                  <c:v>10.965999999999999</c:v>
                </c:pt>
              </c:numCache>
            </c:numRef>
          </c:xVal>
          <c:yVal>
            <c:numRef>
              <c:f>'Cross Sections'!$C$7:$C$63</c:f>
              <c:numCache>
                <c:formatCode>General</c:formatCode>
                <c:ptCount val="57"/>
                <c:pt idx="0">
                  <c:v>293.36</c:v>
                </c:pt>
                <c:pt idx="1">
                  <c:v>292.97899999999998</c:v>
                </c:pt>
                <c:pt idx="2">
                  <c:v>292.79399999999998</c:v>
                </c:pt>
                <c:pt idx="3">
                  <c:v>292.67700000000002</c:v>
                </c:pt>
                <c:pt idx="4">
                  <c:v>292.57499999999999</c:v>
                </c:pt>
                <c:pt idx="5">
                  <c:v>292.53199999999998</c:v>
                </c:pt>
                <c:pt idx="6">
                  <c:v>292.43299999999999</c:v>
                </c:pt>
                <c:pt idx="7">
                  <c:v>292.23500000000001</c:v>
                </c:pt>
                <c:pt idx="8">
                  <c:v>291.99700000000001</c:v>
                </c:pt>
                <c:pt idx="9">
                  <c:v>291.97899999999998</c:v>
                </c:pt>
                <c:pt idx="10">
                  <c:v>291.83600000000001</c:v>
                </c:pt>
                <c:pt idx="11">
                  <c:v>291.68700000000001</c:v>
                </c:pt>
                <c:pt idx="12">
                  <c:v>291.63299999999998</c:v>
                </c:pt>
                <c:pt idx="13">
                  <c:v>291.53699999999998</c:v>
                </c:pt>
                <c:pt idx="14">
                  <c:v>291.488</c:v>
                </c:pt>
                <c:pt idx="15">
                  <c:v>291.52</c:v>
                </c:pt>
                <c:pt idx="16">
                  <c:v>291.625</c:v>
                </c:pt>
                <c:pt idx="17">
                  <c:v>291.16500000000002</c:v>
                </c:pt>
                <c:pt idx="18">
                  <c:v>290.79000000000002</c:v>
                </c:pt>
                <c:pt idx="19">
                  <c:v>290.83</c:v>
                </c:pt>
                <c:pt idx="20">
                  <c:v>291.12</c:v>
                </c:pt>
                <c:pt idx="21">
                  <c:v>291.22300000000001</c:v>
                </c:pt>
                <c:pt idx="22">
                  <c:v>291.13900000000001</c:v>
                </c:pt>
                <c:pt idx="23">
                  <c:v>291.04399999999998</c:v>
                </c:pt>
                <c:pt idx="24">
                  <c:v>291.01400000000001</c:v>
                </c:pt>
                <c:pt idx="25">
                  <c:v>290.649</c:v>
                </c:pt>
                <c:pt idx="26">
                  <c:v>290.572</c:v>
                </c:pt>
                <c:pt idx="27">
                  <c:v>290.26499999999999</c:v>
                </c:pt>
                <c:pt idx="28">
                  <c:v>290.20299999999997</c:v>
                </c:pt>
                <c:pt idx="29">
                  <c:v>289.90800000000002</c:v>
                </c:pt>
                <c:pt idx="30">
                  <c:v>289.892</c:v>
                </c:pt>
                <c:pt idx="31">
                  <c:v>289.77</c:v>
                </c:pt>
                <c:pt idx="32">
                  <c:v>289.70100000000002</c:v>
                </c:pt>
                <c:pt idx="33">
                  <c:v>289.654</c:v>
                </c:pt>
                <c:pt idx="34">
                  <c:v>289.47000000000003</c:v>
                </c:pt>
                <c:pt idx="35">
                  <c:v>289.41199999999998</c:v>
                </c:pt>
                <c:pt idx="36">
                  <c:v>289.25900000000001</c:v>
                </c:pt>
                <c:pt idx="37">
                  <c:v>289.21600000000001</c:v>
                </c:pt>
                <c:pt idx="38">
                  <c:v>289.04399999999998</c:v>
                </c:pt>
                <c:pt idx="39">
                  <c:v>289.02699999999999</c:v>
                </c:pt>
                <c:pt idx="40">
                  <c:v>289.01799999999997</c:v>
                </c:pt>
                <c:pt idx="41">
                  <c:v>288.94600000000003</c:v>
                </c:pt>
                <c:pt idx="42">
                  <c:v>289.07600000000002</c:v>
                </c:pt>
                <c:pt idx="43">
                  <c:v>289.07600000000002</c:v>
                </c:pt>
                <c:pt idx="44">
                  <c:v>289.07100000000003</c:v>
                </c:pt>
                <c:pt idx="45">
                  <c:v>288.88900000000001</c:v>
                </c:pt>
                <c:pt idx="46">
                  <c:v>287.86900000000003</c:v>
                </c:pt>
                <c:pt idx="47">
                  <c:v>286.19099999999997</c:v>
                </c:pt>
                <c:pt idx="48">
                  <c:v>286.37799999999999</c:v>
                </c:pt>
                <c:pt idx="49">
                  <c:v>286.53100000000001</c:v>
                </c:pt>
                <c:pt idx="50">
                  <c:v>286.70299999999997</c:v>
                </c:pt>
                <c:pt idx="51">
                  <c:v>286.839</c:v>
                </c:pt>
                <c:pt idx="52">
                  <c:v>287.01499999999999</c:v>
                </c:pt>
                <c:pt idx="53">
                  <c:v>287.45499999999998</c:v>
                </c:pt>
                <c:pt idx="54">
                  <c:v>287.42700000000002</c:v>
                </c:pt>
                <c:pt idx="55">
                  <c:v>287.42099999999999</c:v>
                </c:pt>
                <c:pt idx="56">
                  <c:v>287.17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A5-4E8D-B415-C706C35F42B4}"/>
            </c:ext>
          </c:extLst>
        </c:ser>
        <c:ser>
          <c:idx val="0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Sections'!$B$7:$B$189</c:f>
              <c:numCache>
                <c:formatCode>General</c:formatCode>
                <c:ptCount val="183"/>
                <c:pt idx="0">
                  <c:v>-210.61</c:v>
                </c:pt>
                <c:pt idx="1">
                  <c:v>-203.03800000000001</c:v>
                </c:pt>
                <c:pt idx="2">
                  <c:v>-198.46100000000001</c:v>
                </c:pt>
                <c:pt idx="3">
                  <c:v>-193.82</c:v>
                </c:pt>
                <c:pt idx="4">
                  <c:v>-192.62299999999999</c:v>
                </c:pt>
                <c:pt idx="5">
                  <c:v>-191.40799999999999</c:v>
                </c:pt>
                <c:pt idx="6">
                  <c:v>-189.21899999999999</c:v>
                </c:pt>
                <c:pt idx="7">
                  <c:v>-184.37200000000001</c:v>
                </c:pt>
                <c:pt idx="8">
                  <c:v>-178.642</c:v>
                </c:pt>
                <c:pt idx="9">
                  <c:v>-178.09299999999999</c:v>
                </c:pt>
                <c:pt idx="10">
                  <c:v>-174.703</c:v>
                </c:pt>
                <c:pt idx="11">
                  <c:v>-168.57599999999999</c:v>
                </c:pt>
                <c:pt idx="12">
                  <c:v>-164.41</c:v>
                </c:pt>
                <c:pt idx="13">
                  <c:v>-157.02500000000001</c:v>
                </c:pt>
                <c:pt idx="14">
                  <c:v>-153.18799999999999</c:v>
                </c:pt>
                <c:pt idx="15">
                  <c:v>-151.399</c:v>
                </c:pt>
                <c:pt idx="16">
                  <c:v>-149.91200000000001</c:v>
                </c:pt>
                <c:pt idx="17">
                  <c:v>-141.483</c:v>
                </c:pt>
                <c:pt idx="18">
                  <c:v>-131.86099999999999</c:v>
                </c:pt>
                <c:pt idx="19">
                  <c:v>-130.49799999999999</c:v>
                </c:pt>
                <c:pt idx="20">
                  <c:v>-128.47200000000001</c:v>
                </c:pt>
                <c:pt idx="21">
                  <c:v>-123.52800000000001</c:v>
                </c:pt>
                <c:pt idx="22">
                  <c:v>-116.46899999999999</c:v>
                </c:pt>
                <c:pt idx="23">
                  <c:v>-109.601</c:v>
                </c:pt>
                <c:pt idx="24">
                  <c:v>-106.59099999999999</c:v>
                </c:pt>
                <c:pt idx="25">
                  <c:v>-98.388000000000005</c:v>
                </c:pt>
                <c:pt idx="26">
                  <c:v>-96.718999999999994</c:v>
                </c:pt>
                <c:pt idx="27">
                  <c:v>-88.954999999999998</c:v>
                </c:pt>
                <c:pt idx="28">
                  <c:v>-87.381</c:v>
                </c:pt>
                <c:pt idx="29">
                  <c:v>-77.344999999999999</c:v>
                </c:pt>
                <c:pt idx="30">
                  <c:v>-74.441000000000003</c:v>
                </c:pt>
                <c:pt idx="31">
                  <c:v>-66.838999999999999</c:v>
                </c:pt>
                <c:pt idx="32">
                  <c:v>-62.531999999999996</c:v>
                </c:pt>
                <c:pt idx="33">
                  <c:v>-57.600999999999999</c:v>
                </c:pt>
                <c:pt idx="34">
                  <c:v>-50.497999999999998</c:v>
                </c:pt>
                <c:pt idx="35">
                  <c:v>-47.762999999999998</c:v>
                </c:pt>
                <c:pt idx="36">
                  <c:v>-39.854999999999997</c:v>
                </c:pt>
                <c:pt idx="37">
                  <c:v>-36.624000000000002</c:v>
                </c:pt>
                <c:pt idx="38">
                  <c:v>-29.98</c:v>
                </c:pt>
                <c:pt idx="39">
                  <c:v>-29.085999999999999</c:v>
                </c:pt>
                <c:pt idx="40">
                  <c:v>-28.353000000000002</c:v>
                </c:pt>
                <c:pt idx="41">
                  <c:v>-21.016999999999999</c:v>
                </c:pt>
                <c:pt idx="42">
                  <c:v>-13.364000000000001</c:v>
                </c:pt>
                <c:pt idx="43">
                  <c:v>-12.717000000000001</c:v>
                </c:pt>
                <c:pt idx="44">
                  <c:v>-12.443</c:v>
                </c:pt>
                <c:pt idx="45">
                  <c:v>-7.4</c:v>
                </c:pt>
                <c:pt idx="46">
                  <c:v>-7.1189999999999998</c:v>
                </c:pt>
                <c:pt idx="47">
                  <c:v>-6.806</c:v>
                </c:pt>
                <c:pt idx="48">
                  <c:v>-5.1859999999999999</c:v>
                </c:pt>
                <c:pt idx="49">
                  <c:v>-2.8759999999999999</c:v>
                </c:pt>
                <c:pt idx="50">
                  <c:v>0.192</c:v>
                </c:pt>
                <c:pt idx="51">
                  <c:v>2.6659999999999999</c:v>
                </c:pt>
                <c:pt idx="52">
                  <c:v>6.6669999999999998</c:v>
                </c:pt>
                <c:pt idx="53">
                  <c:v>10.084</c:v>
                </c:pt>
                <c:pt idx="54">
                  <c:v>10.375999999999999</c:v>
                </c:pt>
                <c:pt idx="55">
                  <c:v>10.500999999999999</c:v>
                </c:pt>
                <c:pt idx="56">
                  <c:v>10.965999999999999</c:v>
                </c:pt>
              </c:numCache>
            </c:numRef>
          </c:xVal>
          <c:yVal>
            <c:numRef>
              <c:f>'Cross Sections'!$C$7:$C$189</c:f>
              <c:numCache>
                <c:formatCode>General</c:formatCode>
                <c:ptCount val="183"/>
                <c:pt idx="0">
                  <c:v>293.36</c:v>
                </c:pt>
                <c:pt idx="1">
                  <c:v>292.97899999999998</c:v>
                </c:pt>
                <c:pt idx="2">
                  <c:v>292.79399999999998</c:v>
                </c:pt>
                <c:pt idx="3">
                  <c:v>292.67700000000002</c:v>
                </c:pt>
                <c:pt idx="4">
                  <c:v>292.57499999999999</c:v>
                </c:pt>
                <c:pt idx="5">
                  <c:v>292.53199999999998</c:v>
                </c:pt>
                <c:pt idx="6">
                  <c:v>292.43299999999999</c:v>
                </c:pt>
                <c:pt idx="7">
                  <c:v>292.23500000000001</c:v>
                </c:pt>
                <c:pt idx="8">
                  <c:v>291.99700000000001</c:v>
                </c:pt>
                <c:pt idx="9">
                  <c:v>291.97899999999998</c:v>
                </c:pt>
                <c:pt idx="10">
                  <c:v>291.83600000000001</c:v>
                </c:pt>
                <c:pt idx="11">
                  <c:v>291.68700000000001</c:v>
                </c:pt>
                <c:pt idx="12">
                  <c:v>291.63299999999998</c:v>
                </c:pt>
                <c:pt idx="13">
                  <c:v>291.53699999999998</c:v>
                </c:pt>
                <c:pt idx="14">
                  <c:v>291.488</c:v>
                </c:pt>
                <c:pt idx="15">
                  <c:v>291.52</c:v>
                </c:pt>
                <c:pt idx="16">
                  <c:v>291.625</c:v>
                </c:pt>
                <c:pt idx="17">
                  <c:v>291.16500000000002</c:v>
                </c:pt>
                <c:pt idx="18">
                  <c:v>290.79000000000002</c:v>
                </c:pt>
                <c:pt idx="19">
                  <c:v>290.83</c:v>
                </c:pt>
                <c:pt idx="20">
                  <c:v>291.12</c:v>
                </c:pt>
                <c:pt idx="21">
                  <c:v>291.22300000000001</c:v>
                </c:pt>
                <c:pt idx="22">
                  <c:v>291.13900000000001</c:v>
                </c:pt>
                <c:pt idx="23">
                  <c:v>291.04399999999998</c:v>
                </c:pt>
                <c:pt idx="24">
                  <c:v>291.01400000000001</c:v>
                </c:pt>
                <c:pt idx="25">
                  <c:v>290.649</c:v>
                </c:pt>
                <c:pt idx="26">
                  <c:v>290.572</c:v>
                </c:pt>
                <c:pt idx="27">
                  <c:v>290.26499999999999</c:v>
                </c:pt>
                <c:pt idx="28">
                  <c:v>290.20299999999997</c:v>
                </c:pt>
                <c:pt idx="29">
                  <c:v>289.90800000000002</c:v>
                </c:pt>
                <c:pt idx="30">
                  <c:v>289.892</c:v>
                </c:pt>
                <c:pt idx="31">
                  <c:v>289.77</c:v>
                </c:pt>
                <c:pt idx="32">
                  <c:v>289.70100000000002</c:v>
                </c:pt>
                <c:pt idx="33">
                  <c:v>289.654</c:v>
                </c:pt>
                <c:pt idx="34">
                  <c:v>289.47000000000003</c:v>
                </c:pt>
                <c:pt idx="35">
                  <c:v>289.41199999999998</c:v>
                </c:pt>
                <c:pt idx="36">
                  <c:v>289.25900000000001</c:v>
                </c:pt>
                <c:pt idx="37">
                  <c:v>289.21600000000001</c:v>
                </c:pt>
                <c:pt idx="38">
                  <c:v>289.04399999999998</c:v>
                </c:pt>
                <c:pt idx="39">
                  <c:v>289.02699999999999</c:v>
                </c:pt>
                <c:pt idx="40">
                  <c:v>289.01799999999997</c:v>
                </c:pt>
                <c:pt idx="41">
                  <c:v>288.94600000000003</c:v>
                </c:pt>
                <c:pt idx="42">
                  <c:v>289.07600000000002</c:v>
                </c:pt>
                <c:pt idx="43">
                  <c:v>289.07600000000002</c:v>
                </c:pt>
                <c:pt idx="44">
                  <c:v>289.07100000000003</c:v>
                </c:pt>
                <c:pt idx="45">
                  <c:v>288.88900000000001</c:v>
                </c:pt>
                <c:pt idx="46">
                  <c:v>287.86900000000003</c:v>
                </c:pt>
                <c:pt idx="47">
                  <c:v>286.19099999999997</c:v>
                </c:pt>
                <c:pt idx="48">
                  <c:v>286.37799999999999</c:v>
                </c:pt>
                <c:pt idx="49">
                  <c:v>286.53100000000001</c:v>
                </c:pt>
                <c:pt idx="50">
                  <c:v>286.70299999999997</c:v>
                </c:pt>
                <c:pt idx="51">
                  <c:v>286.839</c:v>
                </c:pt>
                <c:pt idx="52">
                  <c:v>287.01499999999999</c:v>
                </c:pt>
                <c:pt idx="53">
                  <c:v>287.45499999999998</c:v>
                </c:pt>
                <c:pt idx="54">
                  <c:v>287.42700000000002</c:v>
                </c:pt>
                <c:pt idx="55">
                  <c:v>287.42099999999999</c:v>
                </c:pt>
                <c:pt idx="56">
                  <c:v>287.17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A5-4E8D-B415-C706C35F4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8972144"/>
        <c:axId val="638973784"/>
      </c:scatterChart>
      <c:valAx>
        <c:axId val="638972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73784"/>
        <c:crosses val="autoZero"/>
        <c:crossBetween val="midCat"/>
      </c:valAx>
      <c:valAx>
        <c:axId val="638973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972144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Sections'!$F$5:$F$6</c:f>
              <c:strCache>
                <c:ptCount val="2"/>
                <c:pt idx="0">
                  <c:v>Chainage 500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Sections'!$E$7:$E$63</c:f>
              <c:numCache>
                <c:formatCode>General</c:formatCode>
                <c:ptCount val="57"/>
                <c:pt idx="0">
                  <c:v>-156.006</c:v>
                </c:pt>
                <c:pt idx="1">
                  <c:v>-151.18600000000001</c:v>
                </c:pt>
                <c:pt idx="2">
                  <c:v>-145.90299999999999</c:v>
                </c:pt>
                <c:pt idx="3">
                  <c:v>-137.57599999999999</c:v>
                </c:pt>
                <c:pt idx="4">
                  <c:v>-135.417</c:v>
                </c:pt>
                <c:pt idx="5">
                  <c:v>-132.98099999999999</c:v>
                </c:pt>
                <c:pt idx="6">
                  <c:v>-122.14</c:v>
                </c:pt>
                <c:pt idx="7">
                  <c:v>-119.768</c:v>
                </c:pt>
                <c:pt idx="8">
                  <c:v>-111.279</c:v>
                </c:pt>
                <c:pt idx="9">
                  <c:v>-109.83</c:v>
                </c:pt>
                <c:pt idx="10">
                  <c:v>-100.949</c:v>
                </c:pt>
                <c:pt idx="11">
                  <c:v>-99.686999999999998</c:v>
                </c:pt>
                <c:pt idx="12">
                  <c:v>-98.52</c:v>
                </c:pt>
                <c:pt idx="13">
                  <c:v>-85.509</c:v>
                </c:pt>
                <c:pt idx="14">
                  <c:v>-84.361000000000004</c:v>
                </c:pt>
                <c:pt idx="15">
                  <c:v>-83.679000000000002</c:v>
                </c:pt>
                <c:pt idx="16">
                  <c:v>-67.244</c:v>
                </c:pt>
                <c:pt idx="17">
                  <c:v>-67.201999999999998</c:v>
                </c:pt>
                <c:pt idx="18">
                  <c:v>-67.188000000000002</c:v>
                </c:pt>
                <c:pt idx="19">
                  <c:v>-66.066000000000003</c:v>
                </c:pt>
                <c:pt idx="20">
                  <c:v>-54.680999999999997</c:v>
                </c:pt>
                <c:pt idx="21">
                  <c:v>-54.231999999999999</c:v>
                </c:pt>
                <c:pt idx="22">
                  <c:v>-48.421999999999997</c:v>
                </c:pt>
                <c:pt idx="23">
                  <c:v>-46.195</c:v>
                </c:pt>
                <c:pt idx="24">
                  <c:v>-45.878999999999998</c:v>
                </c:pt>
                <c:pt idx="25">
                  <c:v>-39.052</c:v>
                </c:pt>
                <c:pt idx="26">
                  <c:v>-38.140999999999998</c:v>
                </c:pt>
                <c:pt idx="27">
                  <c:v>-31.114999999999998</c:v>
                </c:pt>
                <c:pt idx="28">
                  <c:v>-30.222000000000001</c:v>
                </c:pt>
                <c:pt idx="29">
                  <c:v>-28.311</c:v>
                </c:pt>
                <c:pt idx="30">
                  <c:v>-23.67</c:v>
                </c:pt>
                <c:pt idx="31">
                  <c:v>-22.738</c:v>
                </c:pt>
                <c:pt idx="32">
                  <c:v>-18.725999999999999</c:v>
                </c:pt>
                <c:pt idx="33">
                  <c:v>-13.916</c:v>
                </c:pt>
                <c:pt idx="34">
                  <c:v>-10.750999999999999</c:v>
                </c:pt>
                <c:pt idx="35">
                  <c:v>-8.5500000000000007</c:v>
                </c:pt>
                <c:pt idx="36">
                  <c:v>-7.3819999999999997</c:v>
                </c:pt>
                <c:pt idx="37">
                  <c:v>-5.4560000000000004</c:v>
                </c:pt>
                <c:pt idx="38">
                  <c:v>-0.76100000000000001</c:v>
                </c:pt>
                <c:pt idx="39">
                  <c:v>2.512</c:v>
                </c:pt>
                <c:pt idx="40">
                  <c:v>4.8470000000000004</c:v>
                </c:pt>
                <c:pt idx="41">
                  <c:v>7.2910000000000004</c:v>
                </c:pt>
                <c:pt idx="42">
                  <c:v>9.7970000000000006</c:v>
                </c:pt>
                <c:pt idx="43">
                  <c:v>10.263999999999999</c:v>
                </c:pt>
                <c:pt idx="44">
                  <c:v>11.047000000000001</c:v>
                </c:pt>
                <c:pt idx="45">
                  <c:v>12.034000000000001</c:v>
                </c:pt>
                <c:pt idx="46">
                  <c:v>15.432</c:v>
                </c:pt>
                <c:pt idx="47">
                  <c:v>19.262</c:v>
                </c:pt>
                <c:pt idx="48">
                  <c:v>26.523</c:v>
                </c:pt>
                <c:pt idx="49">
                  <c:v>37.183</c:v>
                </c:pt>
                <c:pt idx="50">
                  <c:v>49.034999999999997</c:v>
                </c:pt>
                <c:pt idx="51">
                  <c:v>52.290999999999997</c:v>
                </c:pt>
                <c:pt idx="52">
                  <c:v>57.98</c:v>
                </c:pt>
                <c:pt idx="53">
                  <c:v>63.417999999999999</c:v>
                </c:pt>
                <c:pt idx="54">
                  <c:v>64.590999999999994</c:v>
                </c:pt>
                <c:pt idx="55">
                  <c:v>68.069999999999993</c:v>
                </c:pt>
                <c:pt idx="56">
                  <c:v>73.644000000000005</c:v>
                </c:pt>
              </c:numCache>
            </c:numRef>
          </c:xVal>
          <c:yVal>
            <c:numRef>
              <c:f>'Cross Sections'!$F$7:$F$63</c:f>
              <c:numCache>
                <c:formatCode>General</c:formatCode>
                <c:ptCount val="57"/>
                <c:pt idx="0">
                  <c:v>284.608</c:v>
                </c:pt>
                <c:pt idx="1">
                  <c:v>283.48</c:v>
                </c:pt>
                <c:pt idx="2">
                  <c:v>282.553</c:v>
                </c:pt>
                <c:pt idx="3">
                  <c:v>280.56900000000002</c:v>
                </c:pt>
                <c:pt idx="4">
                  <c:v>280.096</c:v>
                </c:pt>
                <c:pt idx="5">
                  <c:v>280.03399999999999</c:v>
                </c:pt>
                <c:pt idx="6">
                  <c:v>279.82499999999999</c:v>
                </c:pt>
                <c:pt idx="7">
                  <c:v>279.81700000000001</c:v>
                </c:pt>
                <c:pt idx="8">
                  <c:v>279.85300000000001</c:v>
                </c:pt>
                <c:pt idx="9">
                  <c:v>279.85000000000002</c:v>
                </c:pt>
                <c:pt idx="10">
                  <c:v>280.029</c:v>
                </c:pt>
                <c:pt idx="11">
                  <c:v>280.06</c:v>
                </c:pt>
                <c:pt idx="12">
                  <c:v>279.95</c:v>
                </c:pt>
                <c:pt idx="13">
                  <c:v>278.72300000000001</c:v>
                </c:pt>
                <c:pt idx="14">
                  <c:v>278.85599999999999</c:v>
                </c:pt>
                <c:pt idx="15">
                  <c:v>278.85500000000002</c:v>
                </c:pt>
                <c:pt idx="16">
                  <c:v>278.98200000000003</c:v>
                </c:pt>
                <c:pt idx="17">
                  <c:v>278.983</c:v>
                </c:pt>
                <c:pt idx="18">
                  <c:v>278.98099999999999</c:v>
                </c:pt>
                <c:pt idx="19">
                  <c:v>279.01400000000001</c:v>
                </c:pt>
                <c:pt idx="20">
                  <c:v>279.34300000000002</c:v>
                </c:pt>
                <c:pt idx="21">
                  <c:v>279.35199999999998</c:v>
                </c:pt>
                <c:pt idx="22">
                  <c:v>279.18700000000001</c:v>
                </c:pt>
                <c:pt idx="23">
                  <c:v>279.267</c:v>
                </c:pt>
                <c:pt idx="24">
                  <c:v>279.26400000000001</c:v>
                </c:pt>
                <c:pt idx="25">
                  <c:v>279.2</c:v>
                </c:pt>
                <c:pt idx="26">
                  <c:v>279.19499999999999</c:v>
                </c:pt>
                <c:pt idx="27">
                  <c:v>279.11399999999998</c:v>
                </c:pt>
                <c:pt idx="28">
                  <c:v>279.12900000000002</c:v>
                </c:pt>
                <c:pt idx="29">
                  <c:v>279.08199999999999</c:v>
                </c:pt>
                <c:pt idx="30">
                  <c:v>279.04199999999997</c:v>
                </c:pt>
                <c:pt idx="31">
                  <c:v>279.04399999999998</c:v>
                </c:pt>
                <c:pt idx="32">
                  <c:v>279.00799999999998</c:v>
                </c:pt>
                <c:pt idx="33">
                  <c:v>279.01</c:v>
                </c:pt>
                <c:pt idx="34">
                  <c:v>278.99599999999998</c:v>
                </c:pt>
                <c:pt idx="35">
                  <c:v>277.30500000000001</c:v>
                </c:pt>
                <c:pt idx="36">
                  <c:v>276.59300000000002</c:v>
                </c:pt>
                <c:pt idx="37">
                  <c:v>276.62799999999999</c:v>
                </c:pt>
                <c:pt idx="38">
                  <c:v>276.68599999999998</c:v>
                </c:pt>
                <c:pt idx="39">
                  <c:v>276.339</c:v>
                </c:pt>
                <c:pt idx="40">
                  <c:v>276.02999999999997</c:v>
                </c:pt>
                <c:pt idx="41">
                  <c:v>276.05900000000003</c:v>
                </c:pt>
                <c:pt idx="42">
                  <c:v>275.96699999999998</c:v>
                </c:pt>
                <c:pt idx="43">
                  <c:v>277.18900000000002</c:v>
                </c:pt>
                <c:pt idx="44">
                  <c:v>278.76299999999998</c:v>
                </c:pt>
                <c:pt idx="45">
                  <c:v>278.76400000000001</c:v>
                </c:pt>
                <c:pt idx="46">
                  <c:v>278.55200000000002</c:v>
                </c:pt>
                <c:pt idx="47">
                  <c:v>278.28800000000001</c:v>
                </c:pt>
                <c:pt idx="48">
                  <c:v>278.60700000000003</c:v>
                </c:pt>
                <c:pt idx="49">
                  <c:v>278.90899999999999</c:v>
                </c:pt>
                <c:pt idx="50">
                  <c:v>279.13</c:v>
                </c:pt>
                <c:pt idx="51">
                  <c:v>279.07</c:v>
                </c:pt>
                <c:pt idx="52">
                  <c:v>279.29899999999998</c:v>
                </c:pt>
                <c:pt idx="53">
                  <c:v>279.57100000000003</c:v>
                </c:pt>
                <c:pt idx="54">
                  <c:v>279.63200000000001</c:v>
                </c:pt>
                <c:pt idx="55">
                  <c:v>280.19099999999997</c:v>
                </c:pt>
                <c:pt idx="56">
                  <c:v>281.16300000000001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91-4A01-8BD5-4B234459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71464"/>
        <c:axId val="457172120"/>
      </c:scatterChart>
      <c:valAx>
        <c:axId val="45717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2120"/>
        <c:crosses val="autoZero"/>
        <c:crossBetween val="midCat"/>
      </c:valAx>
      <c:valAx>
        <c:axId val="457172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71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1000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Sections'!$I$5:$I$6</c:f>
              <c:strCache>
                <c:ptCount val="2"/>
                <c:pt idx="0">
                  <c:v>Chainage 1000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Sections'!$H$7:$H$59</c:f>
              <c:numCache>
                <c:formatCode>General</c:formatCode>
                <c:ptCount val="53"/>
                <c:pt idx="0">
                  <c:v>-90.173000000000002</c:v>
                </c:pt>
                <c:pt idx="1">
                  <c:v>-89.207999999999998</c:v>
                </c:pt>
                <c:pt idx="2">
                  <c:v>-89.206000000000003</c:v>
                </c:pt>
                <c:pt idx="3">
                  <c:v>-83.058999999999997</c:v>
                </c:pt>
                <c:pt idx="4">
                  <c:v>-77.692999999999998</c:v>
                </c:pt>
                <c:pt idx="5">
                  <c:v>-74.884</c:v>
                </c:pt>
                <c:pt idx="6">
                  <c:v>-74.084000000000003</c:v>
                </c:pt>
                <c:pt idx="7">
                  <c:v>-64.516000000000005</c:v>
                </c:pt>
                <c:pt idx="8">
                  <c:v>-60.137</c:v>
                </c:pt>
                <c:pt idx="9">
                  <c:v>-56.2</c:v>
                </c:pt>
                <c:pt idx="10">
                  <c:v>-49.585000000000001</c:v>
                </c:pt>
                <c:pt idx="11">
                  <c:v>-49.552999999999997</c:v>
                </c:pt>
                <c:pt idx="12">
                  <c:v>-49.54</c:v>
                </c:pt>
                <c:pt idx="13">
                  <c:v>-42.148000000000003</c:v>
                </c:pt>
                <c:pt idx="14">
                  <c:v>-38.651000000000003</c:v>
                </c:pt>
                <c:pt idx="15">
                  <c:v>-33.613999999999997</c:v>
                </c:pt>
                <c:pt idx="16">
                  <c:v>-28.134</c:v>
                </c:pt>
                <c:pt idx="17">
                  <c:v>-26.164000000000001</c:v>
                </c:pt>
                <c:pt idx="18">
                  <c:v>-22.259</c:v>
                </c:pt>
                <c:pt idx="19">
                  <c:v>-20.55</c:v>
                </c:pt>
                <c:pt idx="20">
                  <c:v>-17.027000000000001</c:v>
                </c:pt>
                <c:pt idx="21">
                  <c:v>-16.582999999999998</c:v>
                </c:pt>
                <c:pt idx="22">
                  <c:v>-15.728</c:v>
                </c:pt>
                <c:pt idx="23">
                  <c:v>-15.590999999999999</c:v>
                </c:pt>
                <c:pt idx="24">
                  <c:v>-13.76</c:v>
                </c:pt>
                <c:pt idx="25">
                  <c:v>-11.342000000000001</c:v>
                </c:pt>
                <c:pt idx="26">
                  <c:v>-10.951000000000001</c:v>
                </c:pt>
                <c:pt idx="27">
                  <c:v>-7.7779999999999996</c:v>
                </c:pt>
                <c:pt idx="28">
                  <c:v>-5.33</c:v>
                </c:pt>
                <c:pt idx="29">
                  <c:v>-4.96</c:v>
                </c:pt>
                <c:pt idx="30">
                  <c:v>-4.8250000000000002</c:v>
                </c:pt>
                <c:pt idx="31">
                  <c:v>-1.698</c:v>
                </c:pt>
                <c:pt idx="32">
                  <c:v>-0.95899999999999996</c:v>
                </c:pt>
                <c:pt idx="33">
                  <c:v>8.2539999999999996</c:v>
                </c:pt>
                <c:pt idx="34">
                  <c:v>14.451000000000001</c:v>
                </c:pt>
                <c:pt idx="35">
                  <c:v>15.414999999999999</c:v>
                </c:pt>
                <c:pt idx="36">
                  <c:v>15.772</c:v>
                </c:pt>
                <c:pt idx="37">
                  <c:v>19.370999999999999</c:v>
                </c:pt>
                <c:pt idx="38">
                  <c:v>24.326000000000001</c:v>
                </c:pt>
                <c:pt idx="39">
                  <c:v>33.448</c:v>
                </c:pt>
                <c:pt idx="40">
                  <c:v>40.582000000000001</c:v>
                </c:pt>
                <c:pt idx="41">
                  <c:v>47.127000000000002</c:v>
                </c:pt>
                <c:pt idx="42">
                  <c:v>60.529000000000003</c:v>
                </c:pt>
                <c:pt idx="43">
                  <c:v>60.628</c:v>
                </c:pt>
                <c:pt idx="44">
                  <c:v>60.73</c:v>
                </c:pt>
                <c:pt idx="45">
                  <c:v>74.465000000000003</c:v>
                </c:pt>
                <c:pt idx="46">
                  <c:v>82.445999999999998</c:v>
                </c:pt>
                <c:pt idx="47">
                  <c:v>85.906999999999996</c:v>
                </c:pt>
                <c:pt idx="48">
                  <c:v>89.135999999999996</c:v>
                </c:pt>
                <c:pt idx="49">
                  <c:v>89.552999999999997</c:v>
                </c:pt>
                <c:pt idx="50">
                  <c:v>89.853999999999999</c:v>
                </c:pt>
                <c:pt idx="51">
                  <c:v>93.096000000000004</c:v>
                </c:pt>
                <c:pt idx="52">
                  <c:v>94.358999999999995</c:v>
                </c:pt>
              </c:numCache>
            </c:numRef>
          </c:xVal>
          <c:yVal>
            <c:numRef>
              <c:f>'Cross Sections'!$I$7:$I$59</c:f>
              <c:numCache>
                <c:formatCode>General</c:formatCode>
                <c:ptCount val="53"/>
                <c:pt idx="0">
                  <c:v>269.71499999999997</c:v>
                </c:pt>
                <c:pt idx="1">
                  <c:v>269.86500000000001</c:v>
                </c:pt>
                <c:pt idx="2">
                  <c:v>269.86500000000001</c:v>
                </c:pt>
                <c:pt idx="3">
                  <c:v>268.88499999999999</c:v>
                </c:pt>
                <c:pt idx="4">
                  <c:v>268.63099999999997</c:v>
                </c:pt>
                <c:pt idx="5">
                  <c:v>268.56</c:v>
                </c:pt>
                <c:pt idx="6">
                  <c:v>268.57299999999998</c:v>
                </c:pt>
                <c:pt idx="7">
                  <c:v>268.61700000000002</c:v>
                </c:pt>
                <c:pt idx="8">
                  <c:v>268.66199999999998</c:v>
                </c:pt>
                <c:pt idx="9">
                  <c:v>268.73500000000001</c:v>
                </c:pt>
                <c:pt idx="10">
                  <c:v>268.84399999999999</c:v>
                </c:pt>
                <c:pt idx="11">
                  <c:v>268.84399999999999</c:v>
                </c:pt>
                <c:pt idx="12">
                  <c:v>268.84500000000003</c:v>
                </c:pt>
                <c:pt idx="13">
                  <c:v>269.04700000000003</c:v>
                </c:pt>
                <c:pt idx="14">
                  <c:v>269.11200000000002</c:v>
                </c:pt>
                <c:pt idx="15">
                  <c:v>269.06400000000002</c:v>
                </c:pt>
                <c:pt idx="16">
                  <c:v>269.08699999999999</c:v>
                </c:pt>
                <c:pt idx="17">
                  <c:v>269.11099999999999</c:v>
                </c:pt>
                <c:pt idx="18">
                  <c:v>269.07100000000003</c:v>
                </c:pt>
                <c:pt idx="19">
                  <c:v>269.03300000000002</c:v>
                </c:pt>
                <c:pt idx="20">
                  <c:v>268.92899999999997</c:v>
                </c:pt>
                <c:pt idx="21">
                  <c:v>269.012</c:v>
                </c:pt>
                <c:pt idx="22">
                  <c:v>267.16399999999999</c:v>
                </c:pt>
                <c:pt idx="23">
                  <c:v>267.00400000000002</c:v>
                </c:pt>
                <c:pt idx="24">
                  <c:v>267.07900000000001</c:v>
                </c:pt>
                <c:pt idx="25">
                  <c:v>267.19799999999998</c:v>
                </c:pt>
                <c:pt idx="26">
                  <c:v>267.21499999999997</c:v>
                </c:pt>
                <c:pt idx="27">
                  <c:v>267.31400000000002</c:v>
                </c:pt>
                <c:pt idx="28">
                  <c:v>267.387</c:v>
                </c:pt>
                <c:pt idx="29">
                  <c:v>267.399</c:v>
                </c:pt>
                <c:pt idx="30">
                  <c:v>267.39800000000002</c:v>
                </c:pt>
                <c:pt idx="31">
                  <c:v>267.39699999999999</c:v>
                </c:pt>
                <c:pt idx="32">
                  <c:v>267.41500000000002</c:v>
                </c:pt>
                <c:pt idx="33">
                  <c:v>267.56599999999997</c:v>
                </c:pt>
                <c:pt idx="34">
                  <c:v>269.06900000000002</c:v>
                </c:pt>
                <c:pt idx="35">
                  <c:v>269.25299999999999</c:v>
                </c:pt>
                <c:pt idx="36">
                  <c:v>269.24799999999999</c:v>
                </c:pt>
                <c:pt idx="37">
                  <c:v>269.11200000000002</c:v>
                </c:pt>
                <c:pt idx="38">
                  <c:v>269.202</c:v>
                </c:pt>
                <c:pt idx="39">
                  <c:v>269.40699999999998</c:v>
                </c:pt>
                <c:pt idx="40">
                  <c:v>269.69</c:v>
                </c:pt>
                <c:pt idx="41">
                  <c:v>269.91699999999997</c:v>
                </c:pt>
                <c:pt idx="42">
                  <c:v>270.33</c:v>
                </c:pt>
                <c:pt idx="43">
                  <c:v>270.334</c:v>
                </c:pt>
                <c:pt idx="44">
                  <c:v>270.34800000000001</c:v>
                </c:pt>
                <c:pt idx="45">
                  <c:v>271.666</c:v>
                </c:pt>
                <c:pt idx="46">
                  <c:v>272.96300000000002</c:v>
                </c:pt>
                <c:pt idx="47">
                  <c:v>273.50299999999999</c:v>
                </c:pt>
                <c:pt idx="48">
                  <c:v>274.01799999999997</c:v>
                </c:pt>
                <c:pt idx="49">
                  <c:v>274.02600000000001</c:v>
                </c:pt>
                <c:pt idx="50">
                  <c:v>274.03300000000002</c:v>
                </c:pt>
                <c:pt idx="51">
                  <c:v>273.83600000000001</c:v>
                </c:pt>
                <c:pt idx="52">
                  <c:v>273.77300000000002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A4-4C00-812F-9C4863567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66216"/>
        <c:axId val="457162280"/>
      </c:scatterChart>
      <c:valAx>
        <c:axId val="457166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2280"/>
        <c:crosses val="autoZero"/>
        <c:crossBetween val="midCat"/>
      </c:valAx>
      <c:valAx>
        <c:axId val="45716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6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Chainage 1500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Sections'!$L$5:$L$6</c:f>
              <c:strCache>
                <c:ptCount val="2"/>
                <c:pt idx="0">
                  <c:v>Chainage 1500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Sections'!$K$7:$K$61</c:f>
              <c:numCache>
                <c:formatCode>General</c:formatCode>
                <c:ptCount val="55"/>
                <c:pt idx="0">
                  <c:v>-130.774</c:v>
                </c:pt>
                <c:pt idx="1">
                  <c:v>-115.11499999999999</c:v>
                </c:pt>
                <c:pt idx="2">
                  <c:v>-110.59</c:v>
                </c:pt>
                <c:pt idx="3">
                  <c:v>-106.77500000000001</c:v>
                </c:pt>
                <c:pt idx="4">
                  <c:v>-100.85899999999999</c:v>
                </c:pt>
                <c:pt idx="5">
                  <c:v>-87.430999999999997</c:v>
                </c:pt>
                <c:pt idx="6">
                  <c:v>-77.477999999999994</c:v>
                </c:pt>
                <c:pt idx="7">
                  <c:v>-69.555999999999997</c:v>
                </c:pt>
                <c:pt idx="8">
                  <c:v>-64.789000000000001</c:v>
                </c:pt>
                <c:pt idx="9">
                  <c:v>-51.244</c:v>
                </c:pt>
                <c:pt idx="10">
                  <c:v>-43.061</c:v>
                </c:pt>
                <c:pt idx="11">
                  <c:v>-40.985999999999997</c:v>
                </c:pt>
                <c:pt idx="12">
                  <c:v>-39.5</c:v>
                </c:pt>
                <c:pt idx="13">
                  <c:v>-37.637999999999998</c:v>
                </c:pt>
                <c:pt idx="14">
                  <c:v>-31.824999999999999</c:v>
                </c:pt>
                <c:pt idx="15">
                  <c:v>-27.605</c:v>
                </c:pt>
                <c:pt idx="16">
                  <c:v>-25.454000000000001</c:v>
                </c:pt>
                <c:pt idx="17">
                  <c:v>-19.443000000000001</c:v>
                </c:pt>
                <c:pt idx="18">
                  <c:v>-18.954999999999998</c:v>
                </c:pt>
                <c:pt idx="19">
                  <c:v>-12.957000000000001</c:v>
                </c:pt>
                <c:pt idx="20">
                  <c:v>-9.5660000000000007</c:v>
                </c:pt>
                <c:pt idx="21">
                  <c:v>-9.3040000000000003</c:v>
                </c:pt>
                <c:pt idx="22">
                  <c:v>-5.7119999999999997</c:v>
                </c:pt>
                <c:pt idx="23">
                  <c:v>11.316000000000001</c:v>
                </c:pt>
                <c:pt idx="24">
                  <c:v>13.629</c:v>
                </c:pt>
                <c:pt idx="25">
                  <c:v>20.811</c:v>
                </c:pt>
                <c:pt idx="26">
                  <c:v>23.855</c:v>
                </c:pt>
                <c:pt idx="27">
                  <c:v>24.695</c:v>
                </c:pt>
                <c:pt idx="28">
                  <c:v>24.73</c:v>
                </c:pt>
                <c:pt idx="29">
                  <c:v>25.181000000000001</c:v>
                </c:pt>
                <c:pt idx="30">
                  <c:v>26.931999999999999</c:v>
                </c:pt>
                <c:pt idx="31">
                  <c:v>30.856999999999999</c:v>
                </c:pt>
                <c:pt idx="32">
                  <c:v>42.908000000000001</c:v>
                </c:pt>
                <c:pt idx="33">
                  <c:v>48.125</c:v>
                </c:pt>
                <c:pt idx="34">
                  <c:v>53.140999999999998</c:v>
                </c:pt>
                <c:pt idx="35">
                  <c:v>71.944999999999993</c:v>
                </c:pt>
                <c:pt idx="36">
                  <c:v>72.022000000000006</c:v>
                </c:pt>
                <c:pt idx="37">
                  <c:v>72.332999999999998</c:v>
                </c:pt>
                <c:pt idx="38">
                  <c:v>92.021000000000001</c:v>
                </c:pt>
                <c:pt idx="39">
                  <c:v>96.998000000000005</c:v>
                </c:pt>
                <c:pt idx="40">
                  <c:v>111.58199999999999</c:v>
                </c:pt>
                <c:pt idx="41">
                  <c:v>122.286</c:v>
                </c:pt>
                <c:pt idx="42">
                  <c:v>130.38499999999999</c:v>
                </c:pt>
                <c:pt idx="43">
                  <c:v>148.05699999999999</c:v>
                </c:pt>
                <c:pt idx="44">
                  <c:v>149.72900000000001</c:v>
                </c:pt>
                <c:pt idx="45">
                  <c:v>152.85300000000001</c:v>
                </c:pt>
                <c:pt idx="46">
                  <c:v>169.34700000000001</c:v>
                </c:pt>
                <c:pt idx="47">
                  <c:v>173.51599999999999</c:v>
                </c:pt>
                <c:pt idx="48">
                  <c:v>189.43100000000001</c:v>
                </c:pt>
                <c:pt idx="49">
                  <c:v>194.70400000000001</c:v>
                </c:pt>
                <c:pt idx="50">
                  <c:v>201.72</c:v>
                </c:pt>
                <c:pt idx="51">
                  <c:v>205.19800000000001</c:v>
                </c:pt>
                <c:pt idx="52">
                  <c:v>211.09200000000001</c:v>
                </c:pt>
                <c:pt idx="53">
                  <c:v>217.27799999999999</c:v>
                </c:pt>
                <c:pt idx="54">
                  <c:v>220.74600000000001</c:v>
                </c:pt>
              </c:numCache>
            </c:numRef>
          </c:xVal>
          <c:yVal>
            <c:numRef>
              <c:f>'Cross Sections'!$L$7:$L$61</c:f>
              <c:numCache>
                <c:formatCode>General</c:formatCode>
                <c:ptCount val="55"/>
                <c:pt idx="0">
                  <c:v>267.38600000000002</c:v>
                </c:pt>
                <c:pt idx="1">
                  <c:v>263.73</c:v>
                </c:pt>
                <c:pt idx="2">
                  <c:v>261.94900000000001</c:v>
                </c:pt>
                <c:pt idx="3">
                  <c:v>261.60500000000002</c:v>
                </c:pt>
                <c:pt idx="4">
                  <c:v>261.43700000000001</c:v>
                </c:pt>
                <c:pt idx="5">
                  <c:v>261.18299999999999</c:v>
                </c:pt>
                <c:pt idx="6">
                  <c:v>261.16800000000001</c:v>
                </c:pt>
                <c:pt idx="7">
                  <c:v>261.12900000000002</c:v>
                </c:pt>
                <c:pt idx="8">
                  <c:v>261.10199999999998</c:v>
                </c:pt>
                <c:pt idx="9">
                  <c:v>260.89400000000001</c:v>
                </c:pt>
                <c:pt idx="10">
                  <c:v>260.85399999999998</c:v>
                </c:pt>
                <c:pt idx="11">
                  <c:v>260.74799999999999</c:v>
                </c:pt>
                <c:pt idx="12">
                  <c:v>260.57799999999997</c:v>
                </c:pt>
                <c:pt idx="13">
                  <c:v>260.45800000000003</c:v>
                </c:pt>
                <c:pt idx="14">
                  <c:v>260.142</c:v>
                </c:pt>
                <c:pt idx="15">
                  <c:v>259.76</c:v>
                </c:pt>
                <c:pt idx="16">
                  <c:v>259.58699999999999</c:v>
                </c:pt>
                <c:pt idx="17">
                  <c:v>259.17200000000003</c:v>
                </c:pt>
                <c:pt idx="18">
                  <c:v>259.05099999999999</c:v>
                </c:pt>
                <c:pt idx="19">
                  <c:v>258.55599999999998</c:v>
                </c:pt>
                <c:pt idx="20">
                  <c:v>258.28300000000002</c:v>
                </c:pt>
                <c:pt idx="21">
                  <c:v>258.226</c:v>
                </c:pt>
                <c:pt idx="22">
                  <c:v>258.238</c:v>
                </c:pt>
                <c:pt idx="23">
                  <c:v>257.97800000000001</c:v>
                </c:pt>
                <c:pt idx="24">
                  <c:v>257.959</c:v>
                </c:pt>
                <c:pt idx="25">
                  <c:v>257.935</c:v>
                </c:pt>
                <c:pt idx="26">
                  <c:v>257.92200000000003</c:v>
                </c:pt>
                <c:pt idx="27">
                  <c:v>257.92200000000003</c:v>
                </c:pt>
                <c:pt idx="28">
                  <c:v>257.935</c:v>
                </c:pt>
                <c:pt idx="29">
                  <c:v>258.28800000000001</c:v>
                </c:pt>
                <c:pt idx="30">
                  <c:v>259.64699999999999</c:v>
                </c:pt>
                <c:pt idx="31">
                  <c:v>259.96699999999998</c:v>
                </c:pt>
                <c:pt idx="32">
                  <c:v>261.01299999999998</c:v>
                </c:pt>
                <c:pt idx="33">
                  <c:v>261.125</c:v>
                </c:pt>
                <c:pt idx="34">
                  <c:v>261.11</c:v>
                </c:pt>
                <c:pt idx="35">
                  <c:v>260.81900000000002</c:v>
                </c:pt>
                <c:pt idx="36">
                  <c:v>260.81799999999998</c:v>
                </c:pt>
                <c:pt idx="37">
                  <c:v>260.81400000000002</c:v>
                </c:pt>
                <c:pt idx="38">
                  <c:v>260.60199999999998</c:v>
                </c:pt>
                <c:pt idx="39">
                  <c:v>260.61500000000001</c:v>
                </c:pt>
                <c:pt idx="40">
                  <c:v>260.68299999999999</c:v>
                </c:pt>
                <c:pt idx="41">
                  <c:v>260.69099999999997</c:v>
                </c:pt>
                <c:pt idx="42">
                  <c:v>260.71300000000002</c:v>
                </c:pt>
                <c:pt idx="43">
                  <c:v>261.00400000000002</c:v>
                </c:pt>
                <c:pt idx="44">
                  <c:v>261.05599999999998</c:v>
                </c:pt>
                <c:pt idx="45">
                  <c:v>261.17899999999997</c:v>
                </c:pt>
                <c:pt idx="46">
                  <c:v>261.81</c:v>
                </c:pt>
                <c:pt idx="47">
                  <c:v>261.94600000000003</c:v>
                </c:pt>
                <c:pt idx="48">
                  <c:v>262.09399999999999</c:v>
                </c:pt>
                <c:pt idx="49">
                  <c:v>262.12799999999999</c:v>
                </c:pt>
                <c:pt idx="50">
                  <c:v>263.20100000000002</c:v>
                </c:pt>
                <c:pt idx="51">
                  <c:v>263.86200000000002</c:v>
                </c:pt>
                <c:pt idx="52">
                  <c:v>264.58699999999999</c:v>
                </c:pt>
                <c:pt idx="53">
                  <c:v>265.10199999999998</c:v>
                </c:pt>
                <c:pt idx="54">
                  <c:v>265.21600000000001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B3-437C-A1DA-2CEDAB9B4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4984736"/>
        <c:axId val="454981456"/>
      </c:scatterChart>
      <c:valAx>
        <c:axId val="454984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81456"/>
        <c:crosses val="autoZero"/>
        <c:crossBetween val="midCat"/>
      </c:valAx>
      <c:valAx>
        <c:axId val="45498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984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Chainage 2000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Sections'!$O$5:$O$6</c:f>
              <c:strCache>
                <c:ptCount val="2"/>
                <c:pt idx="0">
                  <c:v>Chainage 2000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Sections'!$N$7:$N$71</c:f>
              <c:numCache>
                <c:formatCode>General</c:formatCode>
                <c:ptCount val="65"/>
                <c:pt idx="0">
                  <c:v>-288.63200000000001</c:v>
                </c:pt>
                <c:pt idx="1">
                  <c:v>-285.85378582539084</c:v>
                </c:pt>
                <c:pt idx="2">
                  <c:v>-282.94627744191189</c:v>
                </c:pt>
                <c:pt idx="3">
                  <c:v>-280.35582091843969</c:v>
                </c:pt>
                <c:pt idx="4">
                  <c:v>-277.6423662937961</c:v>
                </c:pt>
                <c:pt idx="5">
                  <c:v>-274.92988606345335</c:v>
                </c:pt>
                <c:pt idx="6">
                  <c:v>-272.2174058331106</c:v>
                </c:pt>
                <c:pt idx="7">
                  <c:v>-269.52021599922801</c:v>
                </c:pt>
                <c:pt idx="8">
                  <c:v>-265.97957820357595</c:v>
                </c:pt>
                <c:pt idx="9">
                  <c:v>-262.26332511746881</c:v>
                </c:pt>
                <c:pt idx="10">
                  <c:v>-258.54707203136195</c:v>
                </c:pt>
                <c:pt idx="11">
                  <c:v>-254.27361710589469</c:v>
                </c:pt>
                <c:pt idx="12">
                  <c:v>-249.89950005213385</c:v>
                </c:pt>
                <c:pt idx="13">
                  <c:v>-245.94624506415263</c:v>
                </c:pt>
                <c:pt idx="14">
                  <c:v>-241.29922354494269</c:v>
                </c:pt>
                <c:pt idx="15">
                  <c:v>-236.62139627151754</c:v>
                </c:pt>
                <c:pt idx="16">
                  <c:v>-232.19196380222755</c:v>
                </c:pt>
                <c:pt idx="17">
                  <c:v>-228.0424813043733</c:v>
                </c:pt>
                <c:pt idx="18">
                  <c:v>-223.90049422085883</c:v>
                </c:pt>
                <c:pt idx="19">
                  <c:v>-219.15475929357933</c:v>
                </c:pt>
                <c:pt idx="20">
                  <c:v>-213.53379629779283</c:v>
                </c:pt>
                <c:pt idx="21">
                  <c:v>-208.8045511148911</c:v>
                </c:pt>
                <c:pt idx="22">
                  <c:v>-201.15348151646245</c:v>
                </c:pt>
                <c:pt idx="23">
                  <c:v>-194.35845208311923</c:v>
                </c:pt>
                <c:pt idx="24">
                  <c:v>-186.81021824996324</c:v>
                </c:pt>
                <c:pt idx="25">
                  <c:v>-179.11380187609154</c:v>
                </c:pt>
                <c:pt idx="26">
                  <c:v>-172.37019030661344</c:v>
                </c:pt>
                <c:pt idx="27">
                  <c:v>-166.21945823636364</c:v>
                </c:pt>
                <c:pt idx="28">
                  <c:v>-159.7293382836971</c:v>
                </c:pt>
                <c:pt idx="29">
                  <c:v>-153.08181656504124</c:v>
                </c:pt>
                <c:pt idx="30">
                  <c:v>-145.98090324350304</c:v>
                </c:pt>
                <c:pt idx="31">
                  <c:v>-139.55216993125549</c:v>
                </c:pt>
                <c:pt idx="32">
                  <c:v>-132.81875200274405</c:v>
                </c:pt>
                <c:pt idx="33">
                  <c:v>-125.79474061323161</c:v>
                </c:pt>
                <c:pt idx="34">
                  <c:v>-121.47301584180069</c:v>
                </c:pt>
                <c:pt idx="35">
                  <c:v>-117.15129107036967</c:v>
                </c:pt>
                <c:pt idx="36">
                  <c:v>-112.94769249296013</c:v>
                </c:pt>
                <c:pt idx="37">
                  <c:v>-106.27348744666433</c:v>
                </c:pt>
                <c:pt idx="38">
                  <c:v>-99.582043282659171</c:v>
                </c:pt>
                <c:pt idx="39">
                  <c:v>-86.553308693298618</c:v>
                </c:pt>
                <c:pt idx="40">
                  <c:v>-67.195303630792779</c:v>
                </c:pt>
                <c:pt idx="41">
                  <c:v>-64.965296904345479</c:v>
                </c:pt>
                <c:pt idx="42">
                  <c:v>-62.817063909533175</c:v>
                </c:pt>
                <c:pt idx="43">
                  <c:v>-59.66843119039936</c:v>
                </c:pt>
                <c:pt idx="44">
                  <c:v>-30.998919004106494</c:v>
                </c:pt>
                <c:pt idx="45">
                  <c:v>-5.9345792362211185</c:v>
                </c:pt>
                <c:pt idx="46">
                  <c:v>18.930385030795318</c:v>
                </c:pt>
                <c:pt idx="47">
                  <c:v>22.202240773336392</c:v>
                </c:pt>
                <c:pt idx="48">
                  <c:v>27.185951940729637</c:v>
                </c:pt>
                <c:pt idx="49">
                  <c:v>27.533809670268536</c:v>
                </c:pt>
                <c:pt idx="50">
                  <c:v>34.714772976121054</c:v>
                </c:pt>
                <c:pt idx="51">
                  <c:v>34.774438711681782</c:v>
                </c:pt>
                <c:pt idx="52">
                  <c:v>35.434251563936172</c:v>
                </c:pt>
                <c:pt idx="53">
                  <c:v>36.095263666699786</c:v>
                </c:pt>
                <c:pt idx="54">
                  <c:v>36.755076518954176</c:v>
                </c:pt>
                <c:pt idx="55">
                  <c:v>38.357050613626072</c:v>
                </c:pt>
                <c:pt idx="56">
                  <c:v>40.779162295609417</c:v>
                </c:pt>
                <c:pt idx="57">
                  <c:v>43.417888692945752</c:v>
                </c:pt>
              </c:numCache>
            </c:numRef>
          </c:xVal>
          <c:yVal>
            <c:numRef>
              <c:f>'Cross Sections'!$O$7:$O$71</c:f>
              <c:numCache>
                <c:formatCode>General</c:formatCode>
                <c:ptCount val="65"/>
                <c:pt idx="0">
                  <c:v>273.5</c:v>
                </c:pt>
                <c:pt idx="1">
                  <c:v>273</c:v>
                </c:pt>
                <c:pt idx="2">
                  <c:v>272.5</c:v>
                </c:pt>
                <c:pt idx="3">
                  <c:v>272</c:v>
                </c:pt>
                <c:pt idx="4">
                  <c:v>271.5</c:v>
                </c:pt>
                <c:pt idx="5">
                  <c:v>271</c:v>
                </c:pt>
                <c:pt idx="6">
                  <c:v>270.5</c:v>
                </c:pt>
                <c:pt idx="7">
                  <c:v>270</c:v>
                </c:pt>
                <c:pt idx="8">
                  <c:v>269.5</c:v>
                </c:pt>
                <c:pt idx="9">
                  <c:v>269</c:v>
                </c:pt>
                <c:pt idx="10">
                  <c:v>268.5</c:v>
                </c:pt>
                <c:pt idx="11">
                  <c:v>268</c:v>
                </c:pt>
                <c:pt idx="12">
                  <c:v>267.5</c:v>
                </c:pt>
                <c:pt idx="13">
                  <c:v>267</c:v>
                </c:pt>
                <c:pt idx="14">
                  <c:v>266.5</c:v>
                </c:pt>
                <c:pt idx="15">
                  <c:v>266</c:v>
                </c:pt>
                <c:pt idx="16">
                  <c:v>265.5</c:v>
                </c:pt>
                <c:pt idx="17">
                  <c:v>265</c:v>
                </c:pt>
                <c:pt idx="18">
                  <c:v>264.5</c:v>
                </c:pt>
                <c:pt idx="19">
                  <c:v>264</c:v>
                </c:pt>
                <c:pt idx="20">
                  <c:v>263.5</c:v>
                </c:pt>
                <c:pt idx="21">
                  <c:v>263</c:v>
                </c:pt>
                <c:pt idx="22">
                  <c:v>262.5</c:v>
                </c:pt>
                <c:pt idx="23">
                  <c:v>262</c:v>
                </c:pt>
                <c:pt idx="24">
                  <c:v>261.5</c:v>
                </c:pt>
                <c:pt idx="25">
                  <c:v>261</c:v>
                </c:pt>
                <c:pt idx="26">
                  <c:v>260.5</c:v>
                </c:pt>
                <c:pt idx="27">
                  <c:v>260</c:v>
                </c:pt>
                <c:pt idx="28">
                  <c:v>259.5</c:v>
                </c:pt>
                <c:pt idx="29">
                  <c:v>259</c:v>
                </c:pt>
                <c:pt idx="30">
                  <c:v>258.5</c:v>
                </c:pt>
                <c:pt idx="31">
                  <c:v>258</c:v>
                </c:pt>
                <c:pt idx="32">
                  <c:v>257.5</c:v>
                </c:pt>
                <c:pt idx="33">
                  <c:v>257</c:v>
                </c:pt>
                <c:pt idx="34">
                  <c:v>256.5</c:v>
                </c:pt>
                <c:pt idx="35">
                  <c:v>256</c:v>
                </c:pt>
                <c:pt idx="36">
                  <c:v>255.5</c:v>
                </c:pt>
                <c:pt idx="37">
                  <c:v>255</c:v>
                </c:pt>
                <c:pt idx="38">
                  <c:v>254.5</c:v>
                </c:pt>
                <c:pt idx="39">
                  <c:v>254</c:v>
                </c:pt>
                <c:pt idx="40">
                  <c:v>253.5</c:v>
                </c:pt>
                <c:pt idx="41">
                  <c:v>253</c:v>
                </c:pt>
                <c:pt idx="42">
                  <c:v>252.5</c:v>
                </c:pt>
                <c:pt idx="43">
                  <c:v>252.5</c:v>
                </c:pt>
                <c:pt idx="44">
                  <c:v>253</c:v>
                </c:pt>
                <c:pt idx="45">
                  <c:v>253</c:v>
                </c:pt>
                <c:pt idx="46">
                  <c:v>252.5</c:v>
                </c:pt>
                <c:pt idx="47">
                  <c:v>252</c:v>
                </c:pt>
                <c:pt idx="48">
                  <c:v>251.5</c:v>
                </c:pt>
                <c:pt idx="49">
                  <c:v>251.5</c:v>
                </c:pt>
                <c:pt idx="50">
                  <c:v>251.5</c:v>
                </c:pt>
                <c:pt idx="51">
                  <c:v>251.5</c:v>
                </c:pt>
                <c:pt idx="52">
                  <c:v>252</c:v>
                </c:pt>
                <c:pt idx="53">
                  <c:v>252.5</c:v>
                </c:pt>
                <c:pt idx="54">
                  <c:v>253</c:v>
                </c:pt>
                <c:pt idx="55">
                  <c:v>253.5</c:v>
                </c:pt>
                <c:pt idx="56">
                  <c:v>254</c:v>
                </c:pt>
                <c:pt idx="57">
                  <c:v>254.5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29-43B0-8133-A2C9C7E35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055032"/>
        <c:axId val="463060936"/>
      </c:scatterChart>
      <c:valAx>
        <c:axId val="463055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60936"/>
        <c:crosses val="autoZero"/>
        <c:crossBetween val="midCat"/>
      </c:valAx>
      <c:valAx>
        <c:axId val="463060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055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2500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Sections'!$R$5:$R$6</c:f>
              <c:strCache>
                <c:ptCount val="2"/>
                <c:pt idx="0">
                  <c:v>Chainage 2500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Sections'!$Q$7:$Q$81</c:f>
              <c:numCache>
                <c:formatCode>General</c:formatCode>
                <c:ptCount val="75"/>
                <c:pt idx="0">
                  <c:v>-300</c:v>
                </c:pt>
                <c:pt idx="1">
                  <c:v>-296.81599999999997</c:v>
                </c:pt>
                <c:pt idx="2">
                  <c:v>-288.40199999999999</c:v>
                </c:pt>
                <c:pt idx="3">
                  <c:v>-282.303</c:v>
                </c:pt>
                <c:pt idx="4">
                  <c:v>-275.84899999999999</c:v>
                </c:pt>
                <c:pt idx="5">
                  <c:v>-267.911</c:v>
                </c:pt>
                <c:pt idx="6">
                  <c:v>-263.19200000000001</c:v>
                </c:pt>
                <c:pt idx="7">
                  <c:v>-252.09100000000001</c:v>
                </c:pt>
                <c:pt idx="8">
                  <c:v>-250.29</c:v>
                </c:pt>
                <c:pt idx="9">
                  <c:v>-241.05799999999999</c:v>
                </c:pt>
                <c:pt idx="10">
                  <c:v>-236.65899999999999</c:v>
                </c:pt>
                <c:pt idx="11">
                  <c:v>-235.989</c:v>
                </c:pt>
                <c:pt idx="12">
                  <c:v>-221.501</c:v>
                </c:pt>
                <c:pt idx="13">
                  <c:v>-219.249</c:v>
                </c:pt>
                <c:pt idx="14">
                  <c:v>-216.422</c:v>
                </c:pt>
                <c:pt idx="15">
                  <c:v>-205.018</c:v>
                </c:pt>
                <c:pt idx="16">
                  <c:v>-199.77199999999999</c:v>
                </c:pt>
                <c:pt idx="17">
                  <c:v>-193.85</c:v>
                </c:pt>
                <c:pt idx="18">
                  <c:v>-185.99299999999999</c:v>
                </c:pt>
                <c:pt idx="19">
                  <c:v>-178.84899999999999</c:v>
                </c:pt>
                <c:pt idx="20">
                  <c:v>-174.779</c:v>
                </c:pt>
                <c:pt idx="21">
                  <c:v>-165.99</c:v>
                </c:pt>
                <c:pt idx="22">
                  <c:v>-165.49</c:v>
                </c:pt>
                <c:pt idx="23">
                  <c:v>-157.85400000000001</c:v>
                </c:pt>
                <c:pt idx="24">
                  <c:v>-156.91300000000001</c:v>
                </c:pt>
                <c:pt idx="25">
                  <c:v>-155.749</c:v>
                </c:pt>
                <c:pt idx="26">
                  <c:v>-121.574</c:v>
                </c:pt>
                <c:pt idx="27">
                  <c:v>-117.971</c:v>
                </c:pt>
                <c:pt idx="28">
                  <c:v>-113.155</c:v>
                </c:pt>
                <c:pt idx="29">
                  <c:v>-107.39700000000001</c:v>
                </c:pt>
                <c:pt idx="30">
                  <c:v>-103.774</c:v>
                </c:pt>
                <c:pt idx="31">
                  <c:v>-97.007000000000005</c:v>
                </c:pt>
                <c:pt idx="32">
                  <c:v>-95.784000000000006</c:v>
                </c:pt>
                <c:pt idx="33">
                  <c:v>-94.813000000000002</c:v>
                </c:pt>
                <c:pt idx="34">
                  <c:v>-87.227000000000004</c:v>
                </c:pt>
                <c:pt idx="35">
                  <c:v>-86.465999999999994</c:v>
                </c:pt>
                <c:pt idx="36">
                  <c:v>-79.628</c:v>
                </c:pt>
                <c:pt idx="37">
                  <c:v>-77.046999999999997</c:v>
                </c:pt>
                <c:pt idx="38">
                  <c:v>-71.257000000000005</c:v>
                </c:pt>
                <c:pt idx="39">
                  <c:v>-64.822999999999993</c:v>
                </c:pt>
                <c:pt idx="40">
                  <c:v>-63.503999999999998</c:v>
                </c:pt>
                <c:pt idx="41">
                  <c:v>-57.295000000000002</c:v>
                </c:pt>
                <c:pt idx="42">
                  <c:v>-55.201000000000001</c:v>
                </c:pt>
                <c:pt idx="43">
                  <c:v>-50.706000000000003</c:v>
                </c:pt>
                <c:pt idx="44">
                  <c:v>-47.344000000000001</c:v>
                </c:pt>
                <c:pt idx="45">
                  <c:v>-45.579000000000001</c:v>
                </c:pt>
                <c:pt idx="46">
                  <c:v>-39.326999999999998</c:v>
                </c:pt>
                <c:pt idx="47">
                  <c:v>-28.574999999999999</c:v>
                </c:pt>
                <c:pt idx="48">
                  <c:v>-25.972999999999999</c:v>
                </c:pt>
                <c:pt idx="49">
                  <c:v>-23.931000000000001</c:v>
                </c:pt>
                <c:pt idx="50">
                  <c:v>-23.917000000000002</c:v>
                </c:pt>
                <c:pt idx="51">
                  <c:v>-21.57</c:v>
                </c:pt>
                <c:pt idx="52">
                  <c:v>-16.103999999999999</c:v>
                </c:pt>
                <c:pt idx="53">
                  <c:v>-15.75</c:v>
                </c:pt>
                <c:pt idx="54">
                  <c:v>-15.214</c:v>
                </c:pt>
                <c:pt idx="55">
                  <c:v>-13.28</c:v>
                </c:pt>
                <c:pt idx="56">
                  <c:v>-12.731999999999999</c:v>
                </c:pt>
                <c:pt idx="57">
                  <c:v>-12.404</c:v>
                </c:pt>
                <c:pt idx="58">
                  <c:v>-11.766999999999999</c:v>
                </c:pt>
                <c:pt idx="59">
                  <c:v>-11.026999999999999</c:v>
                </c:pt>
                <c:pt idx="60">
                  <c:v>-10.345000000000001</c:v>
                </c:pt>
                <c:pt idx="61">
                  <c:v>-10.183</c:v>
                </c:pt>
                <c:pt idx="62">
                  <c:v>-8.4730000000000008</c:v>
                </c:pt>
                <c:pt idx="63">
                  <c:v>5.6420000000000003</c:v>
                </c:pt>
                <c:pt idx="64">
                  <c:v>10.542</c:v>
                </c:pt>
                <c:pt idx="65">
                  <c:v>11.236000000000001</c:v>
                </c:pt>
                <c:pt idx="66">
                  <c:v>12.279</c:v>
                </c:pt>
                <c:pt idx="67">
                  <c:v>22.946999999999999</c:v>
                </c:pt>
                <c:pt idx="68">
                  <c:v>25.786999999999999</c:v>
                </c:pt>
                <c:pt idx="69">
                  <c:v>26.216000000000001</c:v>
                </c:pt>
                <c:pt idx="70">
                  <c:v>26.742999999999999</c:v>
                </c:pt>
                <c:pt idx="71">
                  <c:v>32.689</c:v>
                </c:pt>
                <c:pt idx="72">
                  <c:v>39.305999999999997</c:v>
                </c:pt>
                <c:pt idx="73">
                  <c:v>40.156999999999996</c:v>
                </c:pt>
                <c:pt idx="74">
                  <c:v>42.481000000000002</c:v>
                </c:pt>
              </c:numCache>
            </c:numRef>
          </c:xVal>
          <c:yVal>
            <c:numRef>
              <c:f>'Cross Sections'!$R$7:$R$81</c:f>
              <c:numCache>
                <c:formatCode>General</c:formatCode>
                <c:ptCount val="75"/>
                <c:pt idx="0">
                  <c:v>257.01600000000002</c:v>
                </c:pt>
                <c:pt idx="1">
                  <c:v>256.71699999999998</c:v>
                </c:pt>
                <c:pt idx="2">
                  <c:v>256.08800000000002</c:v>
                </c:pt>
                <c:pt idx="3">
                  <c:v>255.494</c:v>
                </c:pt>
                <c:pt idx="4">
                  <c:v>255.01499999999999</c:v>
                </c:pt>
                <c:pt idx="5">
                  <c:v>254.38900000000001</c:v>
                </c:pt>
                <c:pt idx="6">
                  <c:v>253.995</c:v>
                </c:pt>
                <c:pt idx="7">
                  <c:v>253.19900000000001</c:v>
                </c:pt>
                <c:pt idx="8">
                  <c:v>253.08199999999999</c:v>
                </c:pt>
                <c:pt idx="9">
                  <c:v>252.535</c:v>
                </c:pt>
                <c:pt idx="10">
                  <c:v>252.28100000000001</c:v>
                </c:pt>
                <c:pt idx="11">
                  <c:v>252.24799999999999</c:v>
                </c:pt>
                <c:pt idx="12">
                  <c:v>251.51300000000001</c:v>
                </c:pt>
                <c:pt idx="13">
                  <c:v>251.33699999999999</c:v>
                </c:pt>
                <c:pt idx="14">
                  <c:v>251.215</c:v>
                </c:pt>
                <c:pt idx="15">
                  <c:v>250.73500000000001</c:v>
                </c:pt>
                <c:pt idx="16">
                  <c:v>250.648</c:v>
                </c:pt>
                <c:pt idx="17">
                  <c:v>250.483</c:v>
                </c:pt>
                <c:pt idx="18">
                  <c:v>250.226</c:v>
                </c:pt>
                <c:pt idx="19">
                  <c:v>250.005</c:v>
                </c:pt>
                <c:pt idx="20">
                  <c:v>249.875</c:v>
                </c:pt>
                <c:pt idx="21">
                  <c:v>249.803</c:v>
                </c:pt>
                <c:pt idx="22">
                  <c:v>249.79900000000001</c:v>
                </c:pt>
                <c:pt idx="23">
                  <c:v>249.81</c:v>
                </c:pt>
                <c:pt idx="24">
                  <c:v>249.78200000000001</c:v>
                </c:pt>
                <c:pt idx="25">
                  <c:v>249.74799999999999</c:v>
                </c:pt>
                <c:pt idx="26">
                  <c:v>248.72900000000001</c:v>
                </c:pt>
                <c:pt idx="27">
                  <c:v>248.583</c:v>
                </c:pt>
                <c:pt idx="28">
                  <c:v>248.41</c:v>
                </c:pt>
                <c:pt idx="29">
                  <c:v>248.32</c:v>
                </c:pt>
                <c:pt idx="30">
                  <c:v>248.227</c:v>
                </c:pt>
                <c:pt idx="31">
                  <c:v>248.39</c:v>
                </c:pt>
                <c:pt idx="32">
                  <c:v>248.42400000000001</c:v>
                </c:pt>
                <c:pt idx="33">
                  <c:v>248.43700000000001</c:v>
                </c:pt>
                <c:pt idx="34">
                  <c:v>248.50200000000001</c:v>
                </c:pt>
                <c:pt idx="35">
                  <c:v>248.51499999999999</c:v>
                </c:pt>
                <c:pt idx="36">
                  <c:v>248.584</c:v>
                </c:pt>
                <c:pt idx="37">
                  <c:v>248.61600000000001</c:v>
                </c:pt>
                <c:pt idx="38">
                  <c:v>248.66200000000001</c:v>
                </c:pt>
                <c:pt idx="39">
                  <c:v>248.80099999999999</c:v>
                </c:pt>
                <c:pt idx="40">
                  <c:v>248.82599999999999</c:v>
                </c:pt>
                <c:pt idx="41">
                  <c:v>249.11500000000001</c:v>
                </c:pt>
                <c:pt idx="42">
                  <c:v>249.11699999999999</c:v>
                </c:pt>
                <c:pt idx="43">
                  <c:v>248.887</c:v>
                </c:pt>
                <c:pt idx="44">
                  <c:v>248.61600000000001</c:v>
                </c:pt>
                <c:pt idx="45">
                  <c:v>248.59200000000001</c:v>
                </c:pt>
                <c:pt idx="46">
                  <c:v>248.50399999999999</c:v>
                </c:pt>
                <c:pt idx="47">
                  <c:v>248.80799999999999</c:v>
                </c:pt>
                <c:pt idx="48">
                  <c:v>248.875</c:v>
                </c:pt>
                <c:pt idx="49">
                  <c:v>249.06100000000001</c:v>
                </c:pt>
                <c:pt idx="50">
                  <c:v>249.06200000000001</c:v>
                </c:pt>
                <c:pt idx="51">
                  <c:v>249.06399999999999</c:v>
                </c:pt>
                <c:pt idx="52">
                  <c:v>249.63200000000001</c:v>
                </c:pt>
                <c:pt idx="53">
                  <c:v>249.58799999999999</c:v>
                </c:pt>
                <c:pt idx="54">
                  <c:v>249.565</c:v>
                </c:pt>
                <c:pt idx="55">
                  <c:v>249.42699999999999</c:v>
                </c:pt>
                <c:pt idx="56">
                  <c:v>249.33199999999999</c:v>
                </c:pt>
                <c:pt idx="57">
                  <c:v>249.279</c:v>
                </c:pt>
                <c:pt idx="58">
                  <c:v>248.85400000000001</c:v>
                </c:pt>
                <c:pt idx="59">
                  <c:v>248.374</c:v>
                </c:pt>
                <c:pt idx="60">
                  <c:v>247.904</c:v>
                </c:pt>
                <c:pt idx="61">
                  <c:v>247.815</c:v>
                </c:pt>
                <c:pt idx="62">
                  <c:v>247.715</c:v>
                </c:pt>
                <c:pt idx="63">
                  <c:v>246.88300000000001</c:v>
                </c:pt>
                <c:pt idx="64">
                  <c:v>247.16300000000001</c:v>
                </c:pt>
                <c:pt idx="65">
                  <c:v>247.18299999999999</c:v>
                </c:pt>
                <c:pt idx="66">
                  <c:v>247.23</c:v>
                </c:pt>
                <c:pt idx="67">
                  <c:v>247.58</c:v>
                </c:pt>
                <c:pt idx="68">
                  <c:v>247.72</c:v>
                </c:pt>
                <c:pt idx="69">
                  <c:v>248.357</c:v>
                </c:pt>
                <c:pt idx="70">
                  <c:v>249.15</c:v>
                </c:pt>
                <c:pt idx="71">
                  <c:v>249.029</c:v>
                </c:pt>
                <c:pt idx="72">
                  <c:v>248.97</c:v>
                </c:pt>
                <c:pt idx="73">
                  <c:v>249.017</c:v>
                </c:pt>
                <c:pt idx="74">
                  <c:v>249.13499999999999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54-4611-B900-C6132179C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167200"/>
        <c:axId val="457167856"/>
      </c:scatterChart>
      <c:valAx>
        <c:axId val="457167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7856"/>
        <c:crosses val="autoZero"/>
        <c:crossBetween val="midCat"/>
      </c:valAx>
      <c:valAx>
        <c:axId val="4571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67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3000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Sections'!$U$5:$U$6</c:f>
              <c:strCache>
                <c:ptCount val="2"/>
                <c:pt idx="0">
                  <c:v>Chainage 3000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Sections'!$T$7:$T$55</c:f>
              <c:numCache>
                <c:formatCode>General</c:formatCode>
                <c:ptCount val="49"/>
                <c:pt idx="0">
                  <c:v>-300</c:v>
                </c:pt>
                <c:pt idx="1">
                  <c:v>-290.779</c:v>
                </c:pt>
                <c:pt idx="2">
                  <c:v>-290.04300000000001</c:v>
                </c:pt>
                <c:pt idx="3">
                  <c:v>-283.05200000000002</c:v>
                </c:pt>
                <c:pt idx="4">
                  <c:v>-265.89</c:v>
                </c:pt>
                <c:pt idx="5">
                  <c:v>-265.00900000000001</c:v>
                </c:pt>
                <c:pt idx="6">
                  <c:v>-264.42899999999997</c:v>
                </c:pt>
                <c:pt idx="7">
                  <c:v>-251.65199999999999</c:v>
                </c:pt>
                <c:pt idx="8">
                  <c:v>-242.196</c:v>
                </c:pt>
                <c:pt idx="9">
                  <c:v>-237.857</c:v>
                </c:pt>
                <c:pt idx="10">
                  <c:v>-225.28800000000001</c:v>
                </c:pt>
                <c:pt idx="11">
                  <c:v>-221.57900000000001</c:v>
                </c:pt>
                <c:pt idx="12">
                  <c:v>-181.005</c:v>
                </c:pt>
                <c:pt idx="13">
                  <c:v>-171.28700000000001</c:v>
                </c:pt>
                <c:pt idx="14">
                  <c:v>-167.56</c:v>
                </c:pt>
                <c:pt idx="15">
                  <c:v>-139.09299999999999</c:v>
                </c:pt>
                <c:pt idx="16">
                  <c:v>-133.08099999999999</c:v>
                </c:pt>
                <c:pt idx="17">
                  <c:v>-124.512</c:v>
                </c:pt>
                <c:pt idx="18">
                  <c:v>-119.23399999999999</c:v>
                </c:pt>
                <c:pt idx="19">
                  <c:v>-114.98099999999999</c:v>
                </c:pt>
                <c:pt idx="20">
                  <c:v>-100.07</c:v>
                </c:pt>
                <c:pt idx="21">
                  <c:v>-72.448999999999998</c:v>
                </c:pt>
                <c:pt idx="22">
                  <c:v>-69.870999999999995</c:v>
                </c:pt>
                <c:pt idx="23">
                  <c:v>-50.383000000000003</c:v>
                </c:pt>
                <c:pt idx="24">
                  <c:v>-38.555999999999997</c:v>
                </c:pt>
                <c:pt idx="25">
                  <c:v>-31.045000000000002</c:v>
                </c:pt>
                <c:pt idx="26">
                  <c:v>-18.241</c:v>
                </c:pt>
                <c:pt idx="27">
                  <c:v>-0.84799999999999998</c:v>
                </c:pt>
                <c:pt idx="28">
                  <c:v>0.91700000000000004</c:v>
                </c:pt>
                <c:pt idx="29">
                  <c:v>4.6619999999999999</c:v>
                </c:pt>
                <c:pt idx="30">
                  <c:v>6.8760000000000003</c:v>
                </c:pt>
                <c:pt idx="31">
                  <c:v>9.9949999999999992</c:v>
                </c:pt>
                <c:pt idx="32">
                  <c:v>13.522</c:v>
                </c:pt>
                <c:pt idx="33">
                  <c:v>15.877000000000001</c:v>
                </c:pt>
                <c:pt idx="34">
                  <c:v>22.899000000000001</c:v>
                </c:pt>
                <c:pt idx="35">
                  <c:v>32.886000000000003</c:v>
                </c:pt>
                <c:pt idx="36">
                  <c:v>33.475999999999999</c:v>
                </c:pt>
                <c:pt idx="37">
                  <c:v>45.015000000000001</c:v>
                </c:pt>
                <c:pt idx="38">
                  <c:v>48.768999999999998</c:v>
                </c:pt>
                <c:pt idx="39">
                  <c:v>54.113</c:v>
                </c:pt>
                <c:pt idx="40">
                  <c:v>62.731999999999999</c:v>
                </c:pt>
                <c:pt idx="41">
                  <c:v>69.06</c:v>
                </c:pt>
                <c:pt idx="42">
                  <c:v>69.742999999999995</c:v>
                </c:pt>
                <c:pt idx="43">
                  <c:v>89.078999999999994</c:v>
                </c:pt>
                <c:pt idx="44">
                  <c:v>95.394000000000005</c:v>
                </c:pt>
                <c:pt idx="45">
                  <c:v>97.983000000000004</c:v>
                </c:pt>
                <c:pt idx="46">
                  <c:v>100.414</c:v>
                </c:pt>
                <c:pt idx="47">
                  <c:v>102.52800000000001</c:v>
                </c:pt>
                <c:pt idx="48">
                  <c:v>117.837</c:v>
                </c:pt>
              </c:numCache>
            </c:numRef>
          </c:xVal>
          <c:yVal>
            <c:numRef>
              <c:f>'Cross Sections'!$U$7:$U$55</c:f>
              <c:numCache>
                <c:formatCode>General</c:formatCode>
                <c:ptCount val="49"/>
                <c:pt idx="0">
                  <c:v>253.31299999999999</c:v>
                </c:pt>
                <c:pt idx="1">
                  <c:v>251.881</c:v>
                </c:pt>
                <c:pt idx="2">
                  <c:v>251.785</c:v>
                </c:pt>
                <c:pt idx="3">
                  <c:v>250.71299999999999</c:v>
                </c:pt>
                <c:pt idx="4">
                  <c:v>247.93199999999999</c:v>
                </c:pt>
                <c:pt idx="5">
                  <c:v>247.78700000000001</c:v>
                </c:pt>
                <c:pt idx="6">
                  <c:v>247.72</c:v>
                </c:pt>
                <c:pt idx="7">
                  <c:v>246.249</c:v>
                </c:pt>
                <c:pt idx="8">
                  <c:v>245.73699999999999</c:v>
                </c:pt>
                <c:pt idx="9">
                  <c:v>245.56100000000001</c:v>
                </c:pt>
                <c:pt idx="10">
                  <c:v>245.239</c:v>
                </c:pt>
                <c:pt idx="11">
                  <c:v>245.11699999999999</c:v>
                </c:pt>
                <c:pt idx="12">
                  <c:v>244.33699999999999</c:v>
                </c:pt>
                <c:pt idx="13">
                  <c:v>244.16900000000001</c:v>
                </c:pt>
                <c:pt idx="14">
                  <c:v>244.142</c:v>
                </c:pt>
                <c:pt idx="15">
                  <c:v>244.06100000000001</c:v>
                </c:pt>
                <c:pt idx="16">
                  <c:v>244.18100000000001</c:v>
                </c:pt>
                <c:pt idx="17">
                  <c:v>244.16499999999999</c:v>
                </c:pt>
                <c:pt idx="18">
                  <c:v>244.16900000000001</c:v>
                </c:pt>
                <c:pt idx="19">
                  <c:v>244.16300000000001</c:v>
                </c:pt>
                <c:pt idx="20">
                  <c:v>244.13300000000001</c:v>
                </c:pt>
                <c:pt idx="21">
                  <c:v>244.13900000000001</c:v>
                </c:pt>
                <c:pt idx="22">
                  <c:v>244.25700000000001</c:v>
                </c:pt>
                <c:pt idx="23">
                  <c:v>244.36099999999999</c:v>
                </c:pt>
                <c:pt idx="24">
                  <c:v>244.23599999999999</c:v>
                </c:pt>
                <c:pt idx="25">
                  <c:v>244.18199999999999</c:v>
                </c:pt>
                <c:pt idx="26">
                  <c:v>243.73599999999999</c:v>
                </c:pt>
                <c:pt idx="27">
                  <c:v>243.178</c:v>
                </c:pt>
                <c:pt idx="28">
                  <c:v>243.14099999999999</c:v>
                </c:pt>
                <c:pt idx="29">
                  <c:v>242.91300000000001</c:v>
                </c:pt>
                <c:pt idx="30">
                  <c:v>242.898</c:v>
                </c:pt>
                <c:pt idx="31">
                  <c:v>243.02699999999999</c:v>
                </c:pt>
                <c:pt idx="32">
                  <c:v>242.83199999999999</c:v>
                </c:pt>
                <c:pt idx="33">
                  <c:v>243.22300000000001</c:v>
                </c:pt>
                <c:pt idx="34">
                  <c:v>245.44</c:v>
                </c:pt>
                <c:pt idx="35">
                  <c:v>245.595</c:v>
                </c:pt>
                <c:pt idx="36">
                  <c:v>245.61799999999999</c:v>
                </c:pt>
                <c:pt idx="37">
                  <c:v>246.136</c:v>
                </c:pt>
                <c:pt idx="38">
                  <c:v>246.316</c:v>
                </c:pt>
                <c:pt idx="39">
                  <c:v>246.64400000000001</c:v>
                </c:pt>
                <c:pt idx="40">
                  <c:v>248.315</c:v>
                </c:pt>
                <c:pt idx="41">
                  <c:v>249.25399999999999</c:v>
                </c:pt>
                <c:pt idx="42">
                  <c:v>249.256</c:v>
                </c:pt>
                <c:pt idx="43">
                  <c:v>250.465</c:v>
                </c:pt>
                <c:pt idx="44">
                  <c:v>250.82599999999999</c:v>
                </c:pt>
                <c:pt idx="45">
                  <c:v>250.77600000000001</c:v>
                </c:pt>
                <c:pt idx="46">
                  <c:v>251.346</c:v>
                </c:pt>
                <c:pt idx="47">
                  <c:v>251.76300000000001</c:v>
                </c:pt>
                <c:pt idx="48">
                  <c:v>254.24600000000001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3E-407F-8C45-338C2E364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168888"/>
        <c:axId val="459167576"/>
      </c:scatterChart>
      <c:valAx>
        <c:axId val="459168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67576"/>
        <c:crosses val="autoZero"/>
        <c:crossBetween val="midCat"/>
      </c:valAx>
      <c:valAx>
        <c:axId val="459167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168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Chainage 3500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Sections'!$X$5:$X$6</c:f>
              <c:strCache>
                <c:ptCount val="2"/>
                <c:pt idx="0">
                  <c:v>Chainage 3500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Sections'!$W$7:$W$105</c:f>
              <c:numCache>
                <c:formatCode>General</c:formatCode>
                <c:ptCount val="99"/>
                <c:pt idx="0">
                  <c:v>-300</c:v>
                </c:pt>
                <c:pt idx="1">
                  <c:v>-297.709</c:v>
                </c:pt>
                <c:pt idx="2">
                  <c:v>-294.54500000000002</c:v>
                </c:pt>
                <c:pt idx="3">
                  <c:v>-288.68799999999999</c:v>
                </c:pt>
                <c:pt idx="4">
                  <c:v>-285.21899999999999</c:v>
                </c:pt>
                <c:pt idx="5">
                  <c:v>-277.642</c:v>
                </c:pt>
                <c:pt idx="6">
                  <c:v>-275.48</c:v>
                </c:pt>
                <c:pt idx="7">
                  <c:v>-273.74400000000003</c:v>
                </c:pt>
                <c:pt idx="8">
                  <c:v>-263.613</c:v>
                </c:pt>
                <c:pt idx="9">
                  <c:v>-241.86099999999999</c:v>
                </c:pt>
                <c:pt idx="10">
                  <c:v>-235.42699999999999</c:v>
                </c:pt>
                <c:pt idx="11">
                  <c:v>-230.423</c:v>
                </c:pt>
                <c:pt idx="12">
                  <c:v>-219.13</c:v>
                </c:pt>
                <c:pt idx="13">
                  <c:v>-210.69800000000001</c:v>
                </c:pt>
                <c:pt idx="14">
                  <c:v>-209.56200000000001</c:v>
                </c:pt>
                <c:pt idx="15">
                  <c:v>-209.30799999999999</c:v>
                </c:pt>
                <c:pt idx="16">
                  <c:v>-202.56100000000001</c:v>
                </c:pt>
                <c:pt idx="17">
                  <c:v>-190.072</c:v>
                </c:pt>
                <c:pt idx="18">
                  <c:v>-184.36699999999999</c:v>
                </c:pt>
                <c:pt idx="19">
                  <c:v>-180.62100000000001</c:v>
                </c:pt>
                <c:pt idx="20">
                  <c:v>-168.82499999999999</c:v>
                </c:pt>
                <c:pt idx="21">
                  <c:v>-165.22900000000001</c:v>
                </c:pt>
                <c:pt idx="22">
                  <c:v>-157.92699999999999</c:v>
                </c:pt>
                <c:pt idx="23">
                  <c:v>-156.11600000000001</c:v>
                </c:pt>
                <c:pt idx="24">
                  <c:v>-150.905</c:v>
                </c:pt>
                <c:pt idx="25">
                  <c:v>-143.114</c:v>
                </c:pt>
                <c:pt idx="26">
                  <c:v>-142.274</c:v>
                </c:pt>
                <c:pt idx="27">
                  <c:v>-132.328</c:v>
                </c:pt>
                <c:pt idx="28">
                  <c:v>-95.867000000000004</c:v>
                </c:pt>
                <c:pt idx="29">
                  <c:v>-91.92</c:v>
                </c:pt>
                <c:pt idx="30">
                  <c:v>-75.945999999999998</c:v>
                </c:pt>
                <c:pt idx="31">
                  <c:v>-70.313000000000002</c:v>
                </c:pt>
                <c:pt idx="32">
                  <c:v>-59.808</c:v>
                </c:pt>
                <c:pt idx="33">
                  <c:v>-46.844000000000001</c:v>
                </c:pt>
                <c:pt idx="34">
                  <c:v>-43.359000000000002</c:v>
                </c:pt>
                <c:pt idx="35">
                  <c:v>-40.387999999999998</c:v>
                </c:pt>
                <c:pt idx="36">
                  <c:v>-31.312999999999999</c:v>
                </c:pt>
                <c:pt idx="37">
                  <c:v>-20.175000000000001</c:v>
                </c:pt>
                <c:pt idx="38">
                  <c:v>-18.917000000000002</c:v>
                </c:pt>
                <c:pt idx="39">
                  <c:v>-16.297999999999998</c:v>
                </c:pt>
                <c:pt idx="40">
                  <c:v>-15.134</c:v>
                </c:pt>
                <c:pt idx="41">
                  <c:v>-14.659000000000001</c:v>
                </c:pt>
                <c:pt idx="42">
                  <c:v>-13.416</c:v>
                </c:pt>
                <c:pt idx="43">
                  <c:v>-8.6329999999999991</c:v>
                </c:pt>
                <c:pt idx="44">
                  <c:v>-1.712</c:v>
                </c:pt>
                <c:pt idx="45">
                  <c:v>5.306</c:v>
                </c:pt>
                <c:pt idx="46">
                  <c:v>8.2690000000000001</c:v>
                </c:pt>
                <c:pt idx="47">
                  <c:v>11.59</c:v>
                </c:pt>
                <c:pt idx="48">
                  <c:v>13.324</c:v>
                </c:pt>
                <c:pt idx="49">
                  <c:v>15.115</c:v>
                </c:pt>
                <c:pt idx="50">
                  <c:v>16.343</c:v>
                </c:pt>
                <c:pt idx="51">
                  <c:v>18.425000000000001</c:v>
                </c:pt>
                <c:pt idx="52">
                  <c:v>19.989000000000001</c:v>
                </c:pt>
                <c:pt idx="53">
                  <c:v>20.567</c:v>
                </c:pt>
                <c:pt idx="54">
                  <c:v>22.303000000000001</c:v>
                </c:pt>
                <c:pt idx="55">
                  <c:v>24.603999999999999</c:v>
                </c:pt>
                <c:pt idx="56">
                  <c:v>26.411999999999999</c:v>
                </c:pt>
                <c:pt idx="57">
                  <c:v>29.943000000000001</c:v>
                </c:pt>
                <c:pt idx="58">
                  <c:v>30.969000000000001</c:v>
                </c:pt>
                <c:pt idx="59">
                  <c:v>31.832000000000001</c:v>
                </c:pt>
                <c:pt idx="60">
                  <c:v>32.99</c:v>
                </c:pt>
                <c:pt idx="61">
                  <c:v>58.89</c:v>
                </c:pt>
                <c:pt idx="62">
                  <c:v>69.793999999999997</c:v>
                </c:pt>
                <c:pt idx="63">
                  <c:v>91.99</c:v>
                </c:pt>
                <c:pt idx="64">
                  <c:v>92.930999999999997</c:v>
                </c:pt>
                <c:pt idx="65">
                  <c:v>95.662999999999997</c:v>
                </c:pt>
                <c:pt idx="66">
                  <c:v>109.26300000000001</c:v>
                </c:pt>
                <c:pt idx="67">
                  <c:v>120.22799999999999</c:v>
                </c:pt>
                <c:pt idx="68">
                  <c:v>126.145</c:v>
                </c:pt>
                <c:pt idx="69">
                  <c:v>134.42699999999999</c:v>
                </c:pt>
                <c:pt idx="70">
                  <c:v>134.512</c:v>
                </c:pt>
                <c:pt idx="71">
                  <c:v>136.559</c:v>
                </c:pt>
                <c:pt idx="72">
                  <c:v>139.744</c:v>
                </c:pt>
                <c:pt idx="73">
                  <c:v>140.191</c:v>
                </c:pt>
                <c:pt idx="74">
                  <c:v>140.434</c:v>
                </c:pt>
                <c:pt idx="75">
                  <c:v>140.92699999999999</c:v>
                </c:pt>
                <c:pt idx="76">
                  <c:v>152.88300000000001</c:v>
                </c:pt>
                <c:pt idx="77">
                  <c:v>162.345</c:v>
                </c:pt>
                <c:pt idx="78">
                  <c:v>165.184</c:v>
                </c:pt>
                <c:pt idx="79">
                  <c:v>170.185</c:v>
                </c:pt>
                <c:pt idx="80">
                  <c:v>174.55</c:v>
                </c:pt>
                <c:pt idx="81">
                  <c:v>178.328</c:v>
                </c:pt>
                <c:pt idx="82">
                  <c:v>184.62899999999999</c:v>
                </c:pt>
                <c:pt idx="83">
                  <c:v>189.494</c:v>
                </c:pt>
                <c:pt idx="84">
                  <c:v>194.774</c:v>
                </c:pt>
                <c:pt idx="85">
                  <c:v>204.21199999999999</c:v>
                </c:pt>
                <c:pt idx="86">
                  <c:v>208.28899999999999</c:v>
                </c:pt>
                <c:pt idx="87">
                  <c:v>221.96199999999999</c:v>
                </c:pt>
                <c:pt idx="88">
                  <c:v>224.51400000000001</c:v>
                </c:pt>
                <c:pt idx="89">
                  <c:v>232.99799999999999</c:v>
                </c:pt>
                <c:pt idx="90">
                  <c:v>238.67400000000001</c:v>
                </c:pt>
                <c:pt idx="91">
                  <c:v>245.35400000000001</c:v>
                </c:pt>
                <c:pt idx="92">
                  <c:v>246.876</c:v>
                </c:pt>
                <c:pt idx="93">
                  <c:v>249.68600000000001</c:v>
                </c:pt>
                <c:pt idx="94">
                  <c:v>257.00400000000002</c:v>
                </c:pt>
                <c:pt idx="95">
                  <c:v>264.36900000000003</c:v>
                </c:pt>
                <c:pt idx="96">
                  <c:v>264.64299999999997</c:v>
                </c:pt>
                <c:pt idx="97">
                  <c:v>267.971</c:v>
                </c:pt>
                <c:pt idx="98">
                  <c:v>268.46499999999997</c:v>
                </c:pt>
              </c:numCache>
            </c:numRef>
          </c:xVal>
          <c:yVal>
            <c:numRef>
              <c:f>'Cross Sections'!$X$7:$X$105</c:f>
              <c:numCache>
                <c:formatCode>General</c:formatCode>
                <c:ptCount val="99"/>
                <c:pt idx="0">
                  <c:v>265.16300000000001</c:v>
                </c:pt>
                <c:pt idx="1">
                  <c:v>265.04599999999999</c:v>
                </c:pt>
                <c:pt idx="2">
                  <c:v>264.89699999999999</c:v>
                </c:pt>
                <c:pt idx="3">
                  <c:v>264.536</c:v>
                </c:pt>
                <c:pt idx="4">
                  <c:v>264.35599999999999</c:v>
                </c:pt>
                <c:pt idx="5">
                  <c:v>263.916</c:v>
                </c:pt>
                <c:pt idx="6">
                  <c:v>263.81099999999998</c:v>
                </c:pt>
                <c:pt idx="7">
                  <c:v>263.74200000000002</c:v>
                </c:pt>
                <c:pt idx="8">
                  <c:v>263.38900000000001</c:v>
                </c:pt>
                <c:pt idx="9">
                  <c:v>261.87</c:v>
                </c:pt>
                <c:pt idx="10">
                  <c:v>261.38299999999998</c:v>
                </c:pt>
                <c:pt idx="11">
                  <c:v>260.85700000000003</c:v>
                </c:pt>
                <c:pt idx="12">
                  <c:v>258.66899999999998</c:v>
                </c:pt>
                <c:pt idx="13">
                  <c:v>256.99799999999999</c:v>
                </c:pt>
                <c:pt idx="14">
                  <c:v>256.733</c:v>
                </c:pt>
                <c:pt idx="15">
                  <c:v>256.65699999999998</c:v>
                </c:pt>
                <c:pt idx="16">
                  <c:v>255.06700000000001</c:v>
                </c:pt>
                <c:pt idx="17">
                  <c:v>248.983</c:v>
                </c:pt>
                <c:pt idx="18">
                  <c:v>246.53299999999999</c:v>
                </c:pt>
                <c:pt idx="19">
                  <c:v>244.61500000000001</c:v>
                </c:pt>
                <c:pt idx="20">
                  <c:v>240.51900000000001</c:v>
                </c:pt>
                <c:pt idx="21">
                  <c:v>240.57400000000001</c:v>
                </c:pt>
                <c:pt idx="22">
                  <c:v>240.67400000000001</c:v>
                </c:pt>
                <c:pt idx="23">
                  <c:v>240.67599999999999</c:v>
                </c:pt>
                <c:pt idx="24">
                  <c:v>240.66900000000001</c:v>
                </c:pt>
                <c:pt idx="25">
                  <c:v>240.672</c:v>
                </c:pt>
                <c:pt idx="26">
                  <c:v>240.672</c:v>
                </c:pt>
                <c:pt idx="27">
                  <c:v>240.77099999999999</c:v>
                </c:pt>
                <c:pt idx="28">
                  <c:v>239.44300000000001</c:v>
                </c:pt>
                <c:pt idx="29">
                  <c:v>239.40700000000001</c:v>
                </c:pt>
                <c:pt idx="30">
                  <c:v>239.62899999999999</c:v>
                </c:pt>
                <c:pt idx="31">
                  <c:v>239.68299999999999</c:v>
                </c:pt>
                <c:pt idx="32">
                  <c:v>239.62899999999999</c:v>
                </c:pt>
                <c:pt idx="33">
                  <c:v>239.63499999999999</c:v>
                </c:pt>
                <c:pt idx="34">
                  <c:v>239.636</c:v>
                </c:pt>
                <c:pt idx="35">
                  <c:v>239.679</c:v>
                </c:pt>
                <c:pt idx="36">
                  <c:v>239.839</c:v>
                </c:pt>
                <c:pt idx="37">
                  <c:v>239.989</c:v>
                </c:pt>
                <c:pt idx="38">
                  <c:v>239.727</c:v>
                </c:pt>
                <c:pt idx="39">
                  <c:v>239.137</c:v>
                </c:pt>
                <c:pt idx="40">
                  <c:v>238.87899999999999</c:v>
                </c:pt>
                <c:pt idx="41">
                  <c:v>238.86099999999999</c:v>
                </c:pt>
                <c:pt idx="42">
                  <c:v>238.81700000000001</c:v>
                </c:pt>
                <c:pt idx="43">
                  <c:v>238.77799999999999</c:v>
                </c:pt>
                <c:pt idx="44">
                  <c:v>238.97300000000001</c:v>
                </c:pt>
                <c:pt idx="45">
                  <c:v>239.125</c:v>
                </c:pt>
                <c:pt idx="46">
                  <c:v>238.93700000000001</c:v>
                </c:pt>
                <c:pt idx="47">
                  <c:v>238.84</c:v>
                </c:pt>
                <c:pt idx="48">
                  <c:v>238.67699999999999</c:v>
                </c:pt>
                <c:pt idx="49">
                  <c:v>238.48599999999999</c:v>
                </c:pt>
                <c:pt idx="50">
                  <c:v>238.57300000000001</c:v>
                </c:pt>
                <c:pt idx="51">
                  <c:v>238.739</c:v>
                </c:pt>
                <c:pt idx="52">
                  <c:v>239.10400000000001</c:v>
                </c:pt>
                <c:pt idx="53">
                  <c:v>239.26300000000001</c:v>
                </c:pt>
                <c:pt idx="54">
                  <c:v>239.35400000000001</c:v>
                </c:pt>
                <c:pt idx="55">
                  <c:v>239.59800000000001</c:v>
                </c:pt>
                <c:pt idx="56">
                  <c:v>239.76300000000001</c:v>
                </c:pt>
                <c:pt idx="57">
                  <c:v>240.34800000000001</c:v>
                </c:pt>
                <c:pt idx="58">
                  <c:v>240.559</c:v>
                </c:pt>
                <c:pt idx="59">
                  <c:v>240.53800000000001</c:v>
                </c:pt>
                <c:pt idx="60">
                  <c:v>240.529</c:v>
                </c:pt>
                <c:pt idx="61">
                  <c:v>240.82</c:v>
                </c:pt>
                <c:pt idx="62">
                  <c:v>240.791</c:v>
                </c:pt>
                <c:pt idx="63">
                  <c:v>240.554</c:v>
                </c:pt>
                <c:pt idx="64">
                  <c:v>240.583</c:v>
                </c:pt>
                <c:pt idx="65">
                  <c:v>240.69900000000001</c:v>
                </c:pt>
                <c:pt idx="66">
                  <c:v>240.738</c:v>
                </c:pt>
                <c:pt idx="67">
                  <c:v>241.19300000000001</c:v>
                </c:pt>
                <c:pt idx="68">
                  <c:v>241.52500000000001</c:v>
                </c:pt>
                <c:pt idx="69">
                  <c:v>241.89500000000001</c:v>
                </c:pt>
                <c:pt idx="70">
                  <c:v>241.89599999999999</c:v>
                </c:pt>
                <c:pt idx="71">
                  <c:v>241.96799999999999</c:v>
                </c:pt>
                <c:pt idx="72">
                  <c:v>242.542</c:v>
                </c:pt>
                <c:pt idx="73">
                  <c:v>242.65700000000001</c:v>
                </c:pt>
                <c:pt idx="74">
                  <c:v>242.708</c:v>
                </c:pt>
                <c:pt idx="75">
                  <c:v>242.82400000000001</c:v>
                </c:pt>
                <c:pt idx="76">
                  <c:v>245.227</c:v>
                </c:pt>
                <c:pt idx="77">
                  <c:v>247.03</c:v>
                </c:pt>
                <c:pt idx="78">
                  <c:v>247.42400000000001</c:v>
                </c:pt>
                <c:pt idx="79">
                  <c:v>248.38499999999999</c:v>
                </c:pt>
                <c:pt idx="80">
                  <c:v>249.28299999999999</c:v>
                </c:pt>
                <c:pt idx="81">
                  <c:v>250.303</c:v>
                </c:pt>
                <c:pt idx="82">
                  <c:v>251.49700000000001</c:v>
                </c:pt>
                <c:pt idx="83">
                  <c:v>252.566</c:v>
                </c:pt>
                <c:pt idx="84">
                  <c:v>253.75700000000001</c:v>
                </c:pt>
                <c:pt idx="85">
                  <c:v>255.476</c:v>
                </c:pt>
                <c:pt idx="86">
                  <c:v>256.42399999999998</c:v>
                </c:pt>
                <c:pt idx="87">
                  <c:v>256.79300000000001</c:v>
                </c:pt>
                <c:pt idx="88">
                  <c:v>256.995</c:v>
                </c:pt>
                <c:pt idx="89">
                  <c:v>257.94799999999998</c:v>
                </c:pt>
                <c:pt idx="90">
                  <c:v>258.29700000000003</c:v>
                </c:pt>
                <c:pt idx="91">
                  <c:v>258.8</c:v>
                </c:pt>
                <c:pt idx="92">
                  <c:v>258.82100000000003</c:v>
                </c:pt>
                <c:pt idx="93">
                  <c:v>258.755</c:v>
                </c:pt>
                <c:pt idx="94">
                  <c:v>259.17200000000003</c:v>
                </c:pt>
                <c:pt idx="95">
                  <c:v>259.57799999999997</c:v>
                </c:pt>
                <c:pt idx="96">
                  <c:v>259.57900000000001</c:v>
                </c:pt>
                <c:pt idx="97">
                  <c:v>259.798</c:v>
                </c:pt>
                <c:pt idx="98">
                  <c:v>261.38099999999997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25-4192-921D-80E8672E0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7864040"/>
        <c:axId val="467864696"/>
      </c:scatterChart>
      <c:valAx>
        <c:axId val="467864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4696"/>
        <c:crosses val="autoZero"/>
        <c:crossBetween val="midCat"/>
      </c:valAx>
      <c:valAx>
        <c:axId val="467864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7864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Chainage 3905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'Cross Sections'!$AA$5:$AA$6</c:f>
              <c:strCache>
                <c:ptCount val="2"/>
                <c:pt idx="0">
                  <c:v>Chainage 3905 </c:v>
                </c:pt>
                <c:pt idx="1">
                  <c:v>Z (m)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'Cross Sections'!$Z$7:$Z$56</c:f>
              <c:numCache>
                <c:formatCode>General</c:formatCode>
                <c:ptCount val="50"/>
                <c:pt idx="0">
                  <c:v>-179.041</c:v>
                </c:pt>
                <c:pt idx="1">
                  <c:v>-176.97</c:v>
                </c:pt>
                <c:pt idx="2">
                  <c:v>-176.75299999999999</c:v>
                </c:pt>
                <c:pt idx="3">
                  <c:v>-176.41</c:v>
                </c:pt>
                <c:pt idx="4">
                  <c:v>-173.61500000000001</c:v>
                </c:pt>
                <c:pt idx="5">
                  <c:v>-166.71199999999999</c:v>
                </c:pt>
                <c:pt idx="6">
                  <c:v>-161.07</c:v>
                </c:pt>
                <c:pt idx="7">
                  <c:v>-159.50200000000001</c:v>
                </c:pt>
                <c:pt idx="8">
                  <c:v>-157.40100000000001</c:v>
                </c:pt>
                <c:pt idx="9">
                  <c:v>-151.05600000000001</c:v>
                </c:pt>
                <c:pt idx="10">
                  <c:v>-148.887</c:v>
                </c:pt>
                <c:pt idx="11">
                  <c:v>-145.11199999999999</c:v>
                </c:pt>
                <c:pt idx="12">
                  <c:v>-140.578</c:v>
                </c:pt>
                <c:pt idx="13">
                  <c:v>-135.69</c:v>
                </c:pt>
                <c:pt idx="14">
                  <c:v>-127.914</c:v>
                </c:pt>
                <c:pt idx="15">
                  <c:v>-101.416</c:v>
                </c:pt>
                <c:pt idx="16">
                  <c:v>-54.929000000000002</c:v>
                </c:pt>
                <c:pt idx="17">
                  <c:v>-51.253999999999998</c:v>
                </c:pt>
                <c:pt idx="18">
                  <c:v>-47.82</c:v>
                </c:pt>
                <c:pt idx="19">
                  <c:v>-40.332999999999998</c:v>
                </c:pt>
                <c:pt idx="20">
                  <c:v>-37.185000000000002</c:v>
                </c:pt>
                <c:pt idx="21">
                  <c:v>-26.646999999999998</c:v>
                </c:pt>
                <c:pt idx="22">
                  <c:v>-25.998000000000001</c:v>
                </c:pt>
                <c:pt idx="23">
                  <c:v>-21.172999999999998</c:v>
                </c:pt>
                <c:pt idx="24">
                  <c:v>-18.542999999999999</c:v>
                </c:pt>
                <c:pt idx="25">
                  <c:v>-5.92</c:v>
                </c:pt>
                <c:pt idx="26">
                  <c:v>-4.6719999999999997</c:v>
                </c:pt>
                <c:pt idx="27">
                  <c:v>-2.2970000000000002</c:v>
                </c:pt>
                <c:pt idx="28">
                  <c:v>-0.14000000000000001</c:v>
                </c:pt>
                <c:pt idx="29">
                  <c:v>11.757</c:v>
                </c:pt>
                <c:pt idx="30">
                  <c:v>15.964</c:v>
                </c:pt>
                <c:pt idx="31">
                  <c:v>17.635000000000002</c:v>
                </c:pt>
                <c:pt idx="32">
                  <c:v>17.736000000000001</c:v>
                </c:pt>
                <c:pt idx="33">
                  <c:v>18.09</c:v>
                </c:pt>
                <c:pt idx="34">
                  <c:v>18.449000000000002</c:v>
                </c:pt>
                <c:pt idx="35">
                  <c:v>20.084</c:v>
                </c:pt>
                <c:pt idx="36">
                  <c:v>23.664000000000001</c:v>
                </c:pt>
                <c:pt idx="37">
                  <c:v>24.097000000000001</c:v>
                </c:pt>
                <c:pt idx="38">
                  <c:v>25.364999999999998</c:v>
                </c:pt>
                <c:pt idx="39">
                  <c:v>26.937000000000001</c:v>
                </c:pt>
                <c:pt idx="40">
                  <c:v>26.954000000000001</c:v>
                </c:pt>
                <c:pt idx="41">
                  <c:v>27.143999999999998</c:v>
                </c:pt>
                <c:pt idx="42">
                  <c:v>36.012</c:v>
                </c:pt>
                <c:pt idx="43">
                  <c:v>40.68</c:v>
                </c:pt>
                <c:pt idx="44">
                  <c:v>44.451000000000001</c:v>
                </c:pt>
                <c:pt idx="45">
                  <c:v>47.784999999999997</c:v>
                </c:pt>
                <c:pt idx="46">
                  <c:v>57.345999999999997</c:v>
                </c:pt>
                <c:pt idx="47">
                  <c:v>59.027999999999999</c:v>
                </c:pt>
                <c:pt idx="48">
                  <c:v>66.093000000000004</c:v>
                </c:pt>
                <c:pt idx="49">
                  <c:v>67.307000000000002</c:v>
                </c:pt>
              </c:numCache>
            </c:numRef>
          </c:xVal>
          <c:yVal>
            <c:numRef>
              <c:f>'Cross Sections'!$AA$7:$AA$56</c:f>
              <c:numCache>
                <c:formatCode>General</c:formatCode>
                <c:ptCount val="50"/>
                <c:pt idx="0">
                  <c:v>240.13399999999999</c:v>
                </c:pt>
                <c:pt idx="1">
                  <c:v>240.07499999999999</c:v>
                </c:pt>
                <c:pt idx="2">
                  <c:v>240.08699999999999</c:v>
                </c:pt>
                <c:pt idx="3">
                  <c:v>240.08099999999999</c:v>
                </c:pt>
                <c:pt idx="4">
                  <c:v>239.86500000000001</c:v>
                </c:pt>
                <c:pt idx="5">
                  <c:v>239.43600000000001</c:v>
                </c:pt>
                <c:pt idx="6">
                  <c:v>238.94</c:v>
                </c:pt>
                <c:pt idx="7">
                  <c:v>238.81800000000001</c:v>
                </c:pt>
                <c:pt idx="8">
                  <c:v>238.66</c:v>
                </c:pt>
                <c:pt idx="9">
                  <c:v>238.17599999999999</c:v>
                </c:pt>
                <c:pt idx="10">
                  <c:v>238.05600000000001</c:v>
                </c:pt>
                <c:pt idx="11">
                  <c:v>237.87700000000001</c:v>
                </c:pt>
                <c:pt idx="12">
                  <c:v>237.64599999999999</c:v>
                </c:pt>
                <c:pt idx="13">
                  <c:v>237.31200000000001</c:v>
                </c:pt>
                <c:pt idx="14">
                  <c:v>237.387</c:v>
                </c:pt>
                <c:pt idx="15">
                  <c:v>237.56</c:v>
                </c:pt>
                <c:pt idx="16">
                  <c:v>237.36699999999999</c:v>
                </c:pt>
                <c:pt idx="17">
                  <c:v>237.364</c:v>
                </c:pt>
                <c:pt idx="18">
                  <c:v>237.40100000000001</c:v>
                </c:pt>
                <c:pt idx="19">
                  <c:v>237.423</c:v>
                </c:pt>
                <c:pt idx="20">
                  <c:v>237.52699999999999</c:v>
                </c:pt>
                <c:pt idx="21">
                  <c:v>237.48099999999999</c:v>
                </c:pt>
                <c:pt idx="22">
                  <c:v>237.489</c:v>
                </c:pt>
                <c:pt idx="23">
                  <c:v>237.44200000000001</c:v>
                </c:pt>
                <c:pt idx="24">
                  <c:v>237.47</c:v>
                </c:pt>
                <c:pt idx="25">
                  <c:v>237.22200000000001</c:v>
                </c:pt>
                <c:pt idx="26">
                  <c:v>237.33500000000001</c:v>
                </c:pt>
                <c:pt idx="27">
                  <c:v>237.161</c:v>
                </c:pt>
                <c:pt idx="28">
                  <c:v>237.185</c:v>
                </c:pt>
                <c:pt idx="29">
                  <c:v>237.13300000000001</c:v>
                </c:pt>
                <c:pt idx="30">
                  <c:v>236.185</c:v>
                </c:pt>
                <c:pt idx="31">
                  <c:v>236</c:v>
                </c:pt>
                <c:pt idx="32">
                  <c:v>236</c:v>
                </c:pt>
                <c:pt idx="33">
                  <c:v>236</c:v>
                </c:pt>
                <c:pt idx="34">
                  <c:v>236</c:v>
                </c:pt>
                <c:pt idx="35">
                  <c:v>236</c:v>
                </c:pt>
                <c:pt idx="36">
                  <c:v>236</c:v>
                </c:pt>
                <c:pt idx="37">
                  <c:v>236</c:v>
                </c:pt>
                <c:pt idx="38">
                  <c:v>236</c:v>
                </c:pt>
                <c:pt idx="39">
                  <c:v>236</c:v>
                </c:pt>
                <c:pt idx="40">
                  <c:v>236</c:v>
                </c:pt>
                <c:pt idx="41">
                  <c:v>236</c:v>
                </c:pt>
                <c:pt idx="42">
                  <c:v>237.52500000000001</c:v>
                </c:pt>
                <c:pt idx="43">
                  <c:v>237.95</c:v>
                </c:pt>
                <c:pt idx="44">
                  <c:v>238.21899999999999</c:v>
                </c:pt>
                <c:pt idx="45">
                  <c:v>238.60499999999999</c:v>
                </c:pt>
                <c:pt idx="46">
                  <c:v>239.92400000000001</c:v>
                </c:pt>
                <c:pt idx="47">
                  <c:v>239.98</c:v>
                </c:pt>
                <c:pt idx="48">
                  <c:v>239.71600000000001</c:v>
                </c:pt>
                <c:pt idx="49">
                  <c:v>239.84200000000001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60-4412-894A-99C26D475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3602104"/>
        <c:axId val="463592264"/>
      </c:scatterChart>
      <c:valAx>
        <c:axId val="463602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592264"/>
        <c:crosses val="autoZero"/>
        <c:crossBetween val="midCat"/>
      </c:valAx>
      <c:valAx>
        <c:axId val="46359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602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0</xdr:row>
      <xdr:rowOff>340041</xdr:rowOff>
    </xdr:from>
    <xdr:to>
      <xdr:col>20</xdr:col>
      <xdr:colOff>247649</xdr:colOff>
      <xdr:row>28</xdr:row>
      <xdr:rowOff>154304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EB757-B6BD-4B4A-BD4C-4053195BE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23813</xdr:colOff>
      <xdr:row>4</xdr:row>
      <xdr:rowOff>33338</xdr:rowOff>
    </xdr:from>
    <xdr:to>
      <xdr:col>36</xdr:col>
      <xdr:colOff>309563</xdr:colOff>
      <xdr:row>18</xdr:row>
      <xdr:rowOff>100013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9A88C-4934-42B4-9D0E-B800F16CF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19050</xdr:colOff>
      <xdr:row>20</xdr:row>
      <xdr:rowOff>19050</xdr:rowOff>
    </xdr:from>
    <xdr:to>
      <xdr:col>36</xdr:col>
      <xdr:colOff>323850</xdr:colOff>
      <xdr:row>34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71E920-A37C-494C-AF13-2321674051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19050</xdr:colOff>
      <xdr:row>35</xdr:row>
      <xdr:rowOff>123825</xdr:rowOff>
    </xdr:from>
    <xdr:to>
      <xdr:col>36</xdr:col>
      <xdr:colOff>323850</xdr:colOff>
      <xdr:row>50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16406C-6A45-483C-A68E-A55792C706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13045</xdr:colOff>
      <xdr:row>51</xdr:row>
      <xdr:rowOff>208</xdr:rowOff>
    </xdr:from>
    <xdr:to>
      <xdr:col>36</xdr:col>
      <xdr:colOff>308320</xdr:colOff>
      <xdr:row>65</xdr:row>
      <xdr:rowOff>76408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6272A3-4B81-4B53-87E1-CA0CE205E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17318</xdr:colOff>
      <xdr:row>66</xdr:row>
      <xdr:rowOff>13855</xdr:rowOff>
    </xdr:from>
    <xdr:to>
      <xdr:col>36</xdr:col>
      <xdr:colOff>346364</xdr:colOff>
      <xdr:row>80</xdr:row>
      <xdr:rowOff>72737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0FAEAD3-49FB-4FEF-B0D6-FC59B1AD8B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37</xdr:col>
      <xdr:colOff>40822</xdr:colOff>
      <xdr:row>4</xdr:row>
      <xdr:rowOff>29937</xdr:rowOff>
    </xdr:from>
    <xdr:to>
      <xdr:col>44</xdr:col>
      <xdr:colOff>326572</xdr:colOff>
      <xdr:row>18</xdr:row>
      <xdr:rowOff>106137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E592D74-BAF2-445E-96C4-D380C8F84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13607</xdr:colOff>
      <xdr:row>20</xdr:row>
      <xdr:rowOff>16329</xdr:rowOff>
    </xdr:from>
    <xdr:to>
      <xdr:col>44</xdr:col>
      <xdr:colOff>299357</xdr:colOff>
      <xdr:row>34</xdr:row>
      <xdr:rowOff>92529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E56DE3C-5A3D-4932-A894-5FCFC5C58B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37</xdr:col>
      <xdr:colOff>13608</xdr:colOff>
      <xdr:row>35</xdr:row>
      <xdr:rowOff>111579</xdr:rowOff>
    </xdr:from>
    <xdr:to>
      <xdr:col>44</xdr:col>
      <xdr:colOff>299358</xdr:colOff>
      <xdr:row>49</xdr:row>
      <xdr:rowOff>187779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395B72-0816-40B9-AE2F-61BED423F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13607</xdr:colOff>
      <xdr:row>51</xdr:row>
      <xdr:rowOff>16328</xdr:rowOff>
    </xdr:from>
    <xdr:to>
      <xdr:col>44</xdr:col>
      <xdr:colOff>299357</xdr:colOff>
      <xdr:row>65</xdr:row>
      <xdr:rowOff>24492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4CD7329-6852-48AA-B35E-AB31BCE0E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osman2/Documents/08_US%20Project/04_Project/Meerlustkloof/03_Design/Meerenlust%20Resultate_Rev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co/Desktop/wetransfer-5b1601/Meerenlustkloof%20Project%20Folder/Cross-sections_300m%20wide_Proje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L and Velocity"/>
      <sheetName val="Energy Level"/>
      <sheetName val="Main Channel"/>
    </sheetNames>
    <sheetDataSet>
      <sheetData sheetId="0" refreshError="1">
        <row r="3">
          <cell r="B3">
            <v>0</v>
          </cell>
        </row>
        <row r="4">
          <cell r="B4">
            <v>100</v>
          </cell>
        </row>
        <row r="5">
          <cell r="B5">
            <v>200</v>
          </cell>
        </row>
        <row r="6">
          <cell r="B6">
            <v>300</v>
          </cell>
        </row>
        <row r="7">
          <cell r="B7">
            <v>400</v>
          </cell>
        </row>
        <row r="8">
          <cell r="B8">
            <v>500</v>
          </cell>
        </row>
        <row r="9">
          <cell r="B9">
            <v>600</v>
          </cell>
        </row>
        <row r="10">
          <cell r="B10">
            <v>700</v>
          </cell>
        </row>
        <row r="11">
          <cell r="B11">
            <v>800</v>
          </cell>
        </row>
        <row r="12">
          <cell r="B12">
            <v>900</v>
          </cell>
        </row>
        <row r="13">
          <cell r="B13">
            <v>1000</v>
          </cell>
        </row>
        <row r="14">
          <cell r="B14">
            <v>1100</v>
          </cell>
        </row>
        <row r="15">
          <cell r="B15">
            <v>1200</v>
          </cell>
        </row>
        <row r="16">
          <cell r="B16">
            <v>1300</v>
          </cell>
        </row>
        <row r="17">
          <cell r="B17">
            <v>1400</v>
          </cell>
        </row>
        <row r="18">
          <cell r="B18">
            <v>1500</v>
          </cell>
        </row>
        <row r="19">
          <cell r="B19">
            <v>1600</v>
          </cell>
        </row>
        <row r="20">
          <cell r="B20">
            <v>1700</v>
          </cell>
        </row>
        <row r="21">
          <cell r="B21">
            <v>1800</v>
          </cell>
        </row>
        <row r="22">
          <cell r="B22">
            <v>1900</v>
          </cell>
        </row>
        <row r="23">
          <cell r="B23">
            <v>2000</v>
          </cell>
        </row>
        <row r="24">
          <cell r="B24">
            <v>2100</v>
          </cell>
        </row>
        <row r="25">
          <cell r="B25">
            <v>2200</v>
          </cell>
        </row>
        <row r="26">
          <cell r="B26">
            <v>2300</v>
          </cell>
        </row>
        <row r="27">
          <cell r="B27">
            <v>2400</v>
          </cell>
        </row>
        <row r="28">
          <cell r="B28">
            <v>2500</v>
          </cell>
        </row>
        <row r="29">
          <cell r="B29">
            <v>2600</v>
          </cell>
        </row>
        <row r="30">
          <cell r="B30">
            <v>2700</v>
          </cell>
        </row>
        <row r="31">
          <cell r="B31">
            <v>2800</v>
          </cell>
        </row>
        <row r="32">
          <cell r="B32">
            <v>2900</v>
          </cell>
        </row>
        <row r="33">
          <cell r="B33">
            <v>3000</v>
          </cell>
        </row>
        <row r="34">
          <cell r="B34">
            <v>3100</v>
          </cell>
        </row>
        <row r="35">
          <cell r="B35">
            <v>3200</v>
          </cell>
        </row>
        <row r="36">
          <cell r="B36">
            <v>3300</v>
          </cell>
        </row>
        <row r="37">
          <cell r="B37">
            <v>3400</v>
          </cell>
        </row>
        <row r="38">
          <cell r="B38">
            <v>3500</v>
          </cell>
        </row>
        <row r="39">
          <cell r="B39">
            <v>3600</v>
          </cell>
        </row>
        <row r="40">
          <cell r="B40">
            <v>3700</v>
          </cell>
        </row>
        <row r="41">
          <cell r="B41">
            <v>3800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ross-sections"/>
      <sheetName val="Longsection"/>
      <sheetName val="Sheet1"/>
    </sheetNames>
    <sheetDataSet>
      <sheetData sheetId="0" refreshError="1"/>
      <sheetData sheetId="1">
        <row r="3">
          <cell r="D3">
            <v>38425.78</v>
          </cell>
          <cell r="E3">
            <v>-3768037.023</v>
          </cell>
        </row>
        <row r="4">
          <cell r="D4">
            <v>38370.675999999999</v>
          </cell>
          <cell r="E4">
            <v>-3768116.39</v>
          </cell>
        </row>
        <row r="5">
          <cell r="D5">
            <v>38396.144</v>
          </cell>
          <cell r="E5">
            <v>-3768213.0090000001</v>
          </cell>
        </row>
        <row r="6">
          <cell r="D6">
            <v>38439.758999999998</v>
          </cell>
          <cell r="E6">
            <v>-3768302.628</v>
          </cell>
        </row>
        <row r="7">
          <cell r="D7">
            <v>38453.576999999997</v>
          </cell>
          <cell r="E7">
            <v>-3768399.7259999998</v>
          </cell>
        </row>
        <row r="8">
          <cell r="D8">
            <v>38438.262000000002</v>
          </cell>
          <cell r="E8">
            <v>-3768497.6850000001</v>
          </cell>
        </row>
        <row r="9">
          <cell r="D9">
            <v>38429.889000000003</v>
          </cell>
          <cell r="E9">
            <v>-3768596.6519999998</v>
          </cell>
        </row>
        <row r="10">
          <cell r="D10">
            <v>38421.809000000001</v>
          </cell>
          <cell r="E10">
            <v>-3768695.9580000001</v>
          </cell>
        </row>
        <row r="11">
          <cell r="D11">
            <v>38411.144</v>
          </cell>
          <cell r="E11">
            <v>-3768795.2450000001</v>
          </cell>
        </row>
        <row r="12">
          <cell r="D12">
            <v>38412.097999999998</v>
          </cell>
          <cell r="E12">
            <v>-3768894.8670000001</v>
          </cell>
        </row>
        <row r="13">
          <cell r="D13">
            <v>38401.563999999998</v>
          </cell>
          <cell r="E13">
            <v>-3768992.2609999999</v>
          </cell>
        </row>
        <row r="14">
          <cell r="D14">
            <v>38376.343999999997</v>
          </cell>
          <cell r="E14">
            <v>-3769088.7609999999</v>
          </cell>
        </row>
        <row r="15">
          <cell r="D15">
            <v>38377.805999999997</v>
          </cell>
          <cell r="E15">
            <v>-3769182.0350000001</v>
          </cell>
        </row>
        <row r="16">
          <cell r="D16">
            <v>38357.127999999997</v>
          </cell>
          <cell r="E16">
            <v>-3769279.8259999999</v>
          </cell>
        </row>
        <row r="17">
          <cell r="D17">
            <v>38348.453999999998</v>
          </cell>
          <cell r="E17">
            <v>-3769379.344</v>
          </cell>
        </row>
        <row r="18">
          <cell r="D18">
            <v>38359.53</v>
          </cell>
          <cell r="E18">
            <v>-3769475.966</v>
          </cell>
        </row>
        <row r="19">
          <cell r="D19">
            <v>38424.832000000002</v>
          </cell>
          <cell r="E19">
            <v>-3769547.2680000002</v>
          </cell>
        </row>
        <row r="20">
          <cell r="D20">
            <v>38503.063000000002</v>
          </cell>
          <cell r="E20">
            <v>-3769609.557</v>
          </cell>
        </row>
        <row r="21">
          <cell r="D21">
            <v>38573.409</v>
          </cell>
          <cell r="E21">
            <v>-3769679.4909999999</v>
          </cell>
        </row>
        <row r="22">
          <cell r="D22">
            <v>38633.262000000002</v>
          </cell>
          <cell r="E22">
            <v>-3769759.6009999998</v>
          </cell>
        </row>
        <row r="23">
          <cell r="D23">
            <v>38717.680999999997</v>
          </cell>
          <cell r="E23">
            <v>-3769812.5729999999</v>
          </cell>
        </row>
        <row r="24">
          <cell r="D24">
            <v>38816.186000000002</v>
          </cell>
          <cell r="E24">
            <v>-3769829.8</v>
          </cell>
        </row>
        <row r="25">
          <cell r="D25">
            <v>38914.690999999999</v>
          </cell>
          <cell r="E25">
            <v>-3769847.0269999998</v>
          </cell>
        </row>
        <row r="26">
          <cell r="D26">
            <v>39013.196000000004</v>
          </cell>
          <cell r="E26">
            <v>-3769864.2549999999</v>
          </cell>
        </row>
        <row r="27">
          <cell r="D27">
            <v>39109.849000000002</v>
          </cell>
          <cell r="E27">
            <v>-3769889.8160000001</v>
          </cell>
        </row>
        <row r="28">
          <cell r="D28">
            <v>39204.387999999999</v>
          </cell>
          <cell r="E28">
            <v>-3769920.8739999998</v>
          </cell>
        </row>
        <row r="29">
          <cell r="D29">
            <v>39292.089999999997</v>
          </cell>
          <cell r="E29">
            <v>-3769968.92</v>
          </cell>
        </row>
        <row r="30">
          <cell r="D30">
            <v>39379.792000000001</v>
          </cell>
          <cell r="E30">
            <v>-3770016.9649999999</v>
          </cell>
        </row>
        <row r="31">
          <cell r="D31">
            <v>39463.319000000003</v>
          </cell>
          <cell r="E31">
            <v>-3770071.52</v>
          </cell>
        </row>
        <row r="32">
          <cell r="D32">
            <v>39543.571000000004</v>
          </cell>
          <cell r="E32">
            <v>-3770131.1839999999</v>
          </cell>
        </row>
        <row r="33">
          <cell r="D33">
            <v>39636.038999999997</v>
          </cell>
          <cell r="E33">
            <v>-3770168.7940000002</v>
          </cell>
        </row>
        <row r="34">
          <cell r="D34">
            <v>39730.648999999998</v>
          </cell>
          <cell r="E34">
            <v>-3770198.19</v>
          </cell>
        </row>
        <row r="35">
          <cell r="D35">
            <v>39830.565000000002</v>
          </cell>
          <cell r="E35">
            <v>-3770202.2689999999</v>
          </cell>
        </row>
        <row r="36">
          <cell r="D36">
            <v>39925.732000000004</v>
          </cell>
          <cell r="E36">
            <v>-3770226.656</v>
          </cell>
        </row>
        <row r="37">
          <cell r="D37">
            <v>40016.815999999999</v>
          </cell>
          <cell r="E37">
            <v>-3770267.585</v>
          </cell>
        </row>
        <row r="38">
          <cell r="D38">
            <v>40056.207999999999</v>
          </cell>
          <cell r="E38">
            <v>-3770359.4989999998</v>
          </cell>
        </row>
        <row r="39">
          <cell r="D39">
            <v>40113.506999999998</v>
          </cell>
          <cell r="E39">
            <v>-3770439.1970000002</v>
          </cell>
        </row>
        <row r="40">
          <cell r="D40">
            <v>40197.197</v>
          </cell>
          <cell r="E40">
            <v>-3770493.9330000002</v>
          </cell>
        </row>
        <row r="41">
          <cell r="D41">
            <v>40253.909</v>
          </cell>
          <cell r="E41">
            <v>-3770569.0989999999</v>
          </cell>
        </row>
        <row r="42">
          <cell r="D42">
            <v>40286.006000000001</v>
          </cell>
          <cell r="E42">
            <v>-3770653.196</v>
          </cell>
        </row>
        <row r="43">
          <cell r="D43">
            <v>40293.006000000001</v>
          </cell>
          <cell r="E43">
            <v>-3770666.4620759031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zoomScale="55" zoomScaleNormal="55" workbookViewId="0">
      <selection activeCell="H43" sqref="H43"/>
    </sheetView>
  </sheetViews>
  <sheetFormatPr defaultRowHeight="14.5" x14ac:dyDescent="0.35"/>
  <cols>
    <col min="1" max="1" width="10.6328125" customWidth="1"/>
    <col min="2" max="2" width="13.54296875" customWidth="1"/>
    <col min="6" max="6" width="11.36328125" bestFit="1" customWidth="1"/>
  </cols>
  <sheetData>
    <row r="1" spans="1:9" ht="27" customHeight="1" x14ac:dyDescent="0.35">
      <c r="A1" s="24" t="s">
        <v>11</v>
      </c>
      <c r="B1" s="24"/>
      <c r="D1" s="25" t="s">
        <v>12</v>
      </c>
      <c r="E1" s="25"/>
      <c r="F1" s="25"/>
      <c r="G1" s="25"/>
    </row>
    <row r="2" spans="1:9" x14ac:dyDescent="0.35">
      <c r="A2" t="s">
        <v>13</v>
      </c>
      <c r="B2" t="s">
        <v>14</v>
      </c>
      <c r="D2" t="s">
        <v>14</v>
      </c>
      <c r="E2" t="s">
        <v>13</v>
      </c>
      <c r="F2" t="s">
        <v>15</v>
      </c>
      <c r="G2" t="s">
        <v>16</v>
      </c>
      <c r="H2" t="s">
        <v>17</v>
      </c>
    </row>
    <row r="3" spans="1:9" x14ac:dyDescent="0.35">
      <c r="A3">
        <v>-38425.78</v>
      </c>
      <c r="B3">
        <v>3768037.023</v>
      </c>
      <c r="D3">
        <f>A3*-1</f>
        <v>38425.78</v>
      </c>
      <c r="E3">
        <f>B3*-1</f>
        <v>-3768037.023</v>
      </c>
      <c r="F3" t="s">
        <v>18</v>
      </c>
      <c r="G3">
        <v>0</v>
      </c>
      <c r="H3">
        <v>286.19099999999997</v>
      </c>
      <c r="I3" t="str">
        <f>IF(G3-'[1]WL and Velocity'!B3=0,"","NO")</f>
        <v/>
      </c>
    </row>
    <row r="4" spans="1:9" x14ac:dyDescent="0.35">
      <c r="A4">
        <v>-38370.675999999999</v>
      </c>
      <c r="B4">
        <v>3768116.39</v>
      </c>
      <c r="D4">
        <f t="shared" ref="D4:E41" si="0">A4*-1</f>
        <v>38370.675999999999</v>
      </c>
      <c r="E4">
        <f t="shared" si="0"/>
        <v>-3768116.39</v>
      </c>
      <c r="F4" t="s">
        <v>18</v>
      </c>
      <c r="G4">
        <v>100</v>
      </c>
      <c r="H4">
        <v>284.06099999999998</v>
      </c>
      <c r="I4" t="str">
        <f>IF(G4-'[1]WL and Velocity'!B4=0,"","NO")</f>
        <v/>
      </c>
    </row>
    <row r="5" spans="1:9" x14ac:dyDescent="0.35">
      <c r="A5">
        <v>-38396.144</v>
      </c>
      <c r="B5">
        <v>3768213.0090000001</v>
      </c>
      <c r="D5">
        <f t="shared" si="0"/>
        <v>38396.144</v>
      </c>
      <c r="E5">
        <f t="shared" si="0"/>
        <v>-3768213.0090000001</v>
      </c>
      <c r="F5" t="s">
        <v>18</v>
      </c>
      <c r="G5">
        <v>200</v>
      </c>
      <c r="H5">
        <v>281.459</v>
      </c>
      <c r="I5" t="str">
        <f>IF(G5-'[1]WL and Velocity'!B5=0,"","NO")</f>
        <v/>
      </c>
    </row>
    <row r="6" spans="1:9" x14ac:dyDescent="0.35">
      <c r="A6">
        <v>-38439.758999999998</v>
      </c>
      <c r="B6">
        <v>3768302.628</v>
      </c>
      <c r="D6">
        <f t="shared" si="0"/>
        <v>38439.758999999998</v>
      </c>
      <c r="E6">
        <f t="shared" si="0"/>
        <v>-3768302.628</v>
      </c>
      <c r="F6" t="s">
        <v>18</v>
      </c>
      <c r="G6">
        <v>300</v>
      </c>
      <c r="H6">
        <v>279.678</v>
      </c>
      <c r="I6" t="str">
        <f>IF(G6-'[1]WL and Velocity'!B6=0,"","NO")</f>
        <v/>
      </c>
    </row>
    <row r="7" spans="1:9" x14ac:dyDescent="0.35">
      <c r="A7">
        <v>-38453.576999999997</v>
      </c>
      <c r="B7">
        <v>3768399.7259999998</v>
      </c>
      <c r="D7">
        <f t="shared" si="0"/>
        <v>38453.576999999997</v>
      </c>
      <c r="E7">
        <f t="shared" si="0"/>
        <v>-3768399.7259999998</v>
      </c>
      <c r="F7" t="s">
        <v>18</v>
      </c>
      <c r="G7">
        <v>400</v>
      </c>
      <c r="H7">
        <v>277.91000000000003</v>
      </c>
      <c r="I7" t="str">
        <f>IF(G7-'[1]WL and Velocity'!B7=0,"","NO")</f>
        <v/>
      </c>
    </row>
    <row r="8" spans="1:9" x14ac:dyDescent="0.35">
      <c r="A8">
        <v>-38438.262000000002</v>
      </c>
      <c r="B8">
        <v>3768497.6850000001</v>
      </c>
      <c r="D8">
        <f t="shared" si="0"/>
        <v>38438.262000000002</v>
      </c>
      <c r="E8">
        <f t="shared" si="0"/>
        <v>-3768497.6850000001</v>
      </c>
      <c r="F8" t="s">
        <v>18</v>
      </c>
      <c r="G8">
        <v>500</v>
      </c>
      <c r="H8">
        <v>275.96699999999998</v>
      </c>
      <c r="I8" t="str">
        <f>IF(G8-'[1]WL and Velocity'!B8=0,"","NO")</f>
        <v/>
      </c>
    </row>
    <row r="9" spans="1:9" x14ac:dyDescent="0.35">
      <c r="A9">
        <v>-38429.889000000003</v>
      </c>
      <c r="B9">
        <v>3768596.6519999998</v>
      </c>
      <c r="D9">
        <f t="shared" si="0"/>
        <v>38429.889000000003</v>
      </c>
      <c r="E9">
        <f t="shared" si="0"/>
        <v>-3768596.6519999998</v>
      </c>
      <c r="F9" t="s">
        <v>18</v>
      </c>
      <c r="G9">
        <v>600</v>
      </c>
      <c r="H9">
        <v>274.48899999999998</v>
      </c>
      <c r="I9" t="str">
        <f>IF(G9-'[1]WL and Velocity'!B9=0,"","NO")</f>
        <v/>
      </c>
    </row>
    <row r="10" spans="1:9" x14ac:dyDescent="0.35">
      <c r="A10">
        <v>-38421.809000000001</v>
      </c>
      <c r="B10">
        <v>3768695.9580000001</v>
      </c>
      <c r="D10">
        <f t="shared" si="0"/>
        <v>38421.809000000001</v>
      </c>
      <c r="E10">
        <f t="shared" si="0"/>
        <v>-3768695.9580000001</v>
      </c>
      <c r="F10" t="s">
        <v>18</v>
      </c>
      <c r="G10">
        <v>700</v>
      </c>
      <c r="H10">
        <v>272.70699999999999</v>
      </c>
      <c r="I10" t="str">
        <f>IF(G10-'[1]WL and Velocity'!B10=0,"","NO")</f>
        <v/>
      </c>
    </row>
    <row r="11" spans="1:9" x14ac:dyDescent="0.35">
      <c r="A11">
        <v>-38411.144</v>
      </c>
      <c r="B11">
        <v>3768795.2450000001</v>
      </c>
      <c r="D11">
        <f t="shared" si="0"/>
        <v>38411.144</v>
      </c>
      <c r="E11">
        <f t="shared" si="0"/>
        <v>-3768795.2450000001</v>
      </c>
      <c r="F11" t="s">
        <v>18</v>
      </c>
      <c r="G11">
        <v>800</v>
      </c>
      <c r="H11">
        <v>270.726</v>
      </c>
      <c r="I11" t="str">
        <f>IF(G11-'[1]WL and Velocity'!B11=0,"","NO")</f>
        <v/>
      </c>
    </row>
    <row r="12" spans="1:9" x14ac:dyDescent="0.35">
      <c r="A12">
        <v>-38412.097999999998</v>
      </c>
      <c r="B12">
        <v>3768894.8670000001</v>
      </c>
      <c r="D12">
        <f t="shared" si="0"/>
        <v>38412.097999999998</v>
      </c>
      <c r="E12">
        <f t="shared" si="0"/>
        <v>-3768894.8670000001</v>
      </c>
      <c r="F12" t="s">
        <v>18</v>
      </c>
      <c r="G12">
        <v>900</v>
      </c>
      <c r="H12">
        <v>268.77199999999999</v>
      </c>
      <c r="I12" t="str">
        <f>IF(G12-'[1]WL and Velocity'!B12=0,"","NO")</f>
        <v/>
      </c>
    </row>
    <row r="13" spans="1:9" x14ac:dyDescent="0.35">
      <c r="A13">
        <v>-38401.563999999998</v>
      </c>
      <c r="B13">
        <v>3768992.2609999999</v>
      </c>
      <c r="D13">
        <f t="shared" si="0"/>
        <v>38401.563999999998</v>
      </c>
      <c r="E13">
        <f t="shared" si="0"/>
        <v>-3768992.2609999999</v>
      </c>
      <c r="F13" t="s">
        <v>18</v>
      </c>
      <c r="G13">
        <v>1000</v>
      </c>
      <c r="H13">
        <v>267.00400000000002</v>
      </c>
      <c r="I13" t="str">
        <f>IF(G13-'[1]WL and Velocity'!B13=0,"","NO")</f>
        <v/>
      </c>
    </row>
    <row r="14" spans="1:9" x14ac:dyDescent="0.35">
      <c r="A14">
        <v>-38376.343999999997</v>
      </c>
      <c r="B14">
        <v>3769088.7609999999</v>
      </c>
      <c r="D14">
        <f t="shared" si="0"/>
        <v>38376.343999999997</v>
      </c>
      <c r="E14">
        <f t="shared" si="0"/>
        <v>-3769088.7609999999</v>
      </c>
      <c r="F14" t="s">
        <v>18</v>
      </c>
      <c r="G14">
        <v>1100</v>
      </c>
      <c r="H14">
        <v>265.21499999999997</v>
      </c>
      <c r="I14" t="str">
        <f>IF(G14-'[1]WL and Velocity'!B14=0,"","NO")</f>
        <v/>
      </c>
    </row>
    <row r="15" spans="1:9" x14ac:dyDescent="0.35">
      <c r="A15">
        <v>-38377.805999999997</v>
      </c>
      <c r="B15">
        <v>3769182.0350000001</v>
      </c>
      <c r="D15">
        <f t="shared" si="0"/>
        <v>38377.805999999997</v>
      </c>
      <c r="E15">
        <f t="shared" si="0"/>
        <v>-3769182.0350000001</v>
      </c>
      <c r="F15" t="s">
        <v>18</v>
      </c>
      <c r="G15">
        <v>1200</v>
      </c>
      <c r="H15">
        <v>263.26</v>
      </c>
      <c r="I15" t="str">
        <f>IF(G15-'[1]WL and Velocity'!B15=0,"","NO")</f>
        <v/>
      </c>
    </row>
    <row r="16" spans="1:9" x14ac:dyDescent="0.35">
      <c r="A16">
        <v>-38357.127999999997</v>
      </c>
      <c r="B16">
        <v>3769279.8259999999</v>
      </c>
      <c r="D16">
        <f t="shared" si="0"/>
        <v>38357.127999999997</v>
      </c>
      <c r="E16">
        <f t="shared" si="0"/>
        <v>-3769279.8259999999</v>
      </c>
      <c r="F16" t="s">
        <v>18</v>
      </c>
      <c r="G16">
        <v>1300</v>
      </c>
      <c r="H16">
        <v>261.06700000000001</v>
      </c>
      <c r="I16" t="str">
        <f>IF(G16-'[1]WL and Velocity'!B16=0,"","NO")</f>
        <v/>
      </c>
    </row>
    <row r="17" spans="1:13" x14ac:dyDescent="0.35">
      <c r="A17">
        <v>-38348.453999999998</v>
      </c>
      <c r="B17">
        <v>3769379.344</v>
      </c>
      <c r="D17">
        <f t="shared" si="0"/>
        <v>38348.453999999998</v>
      </c>
      <c r="E17">
        <f t="shared" si="0"/>
        <v>-3769379.344</v>
      </c>
      <c r="F17" t="s">
        <v>18</v>
      </c>
      <c r="G17">
        <v>1400</v>
      </c>
      <c r="H17">
        <v>257.69099999999997</v>
      </c>
      <c r="I17" t="str">
        <f>IF(G17-'[1]WL and Velocity'!B17=0,"","NO")</f>
        <v/>
      </c>
    </row>
    <row r="18" spans="1:13" x14ac:dyDescent="0.35">
      <c r="A18">
        <v>-38359.53</v>
      </c>
      <c r="B18">
        <v>3769475.966</v>
      </c>
      <c r="D18">
        <f t="shared" si="0"/>
        <v>38359.53</v>
      </c>
      <c r="E18">
        <f t="shared" si="0"/>
        <v>-3769475.966</v>
      </c>
      <c r="F18" t="s">
        <v>18</v>
      </c>
      <c r="G18">
        <v>1500</v>
      </c>
      <c r="H18">
        <v>257.92200000000003</v>
      </c>
      <c r="I18" t="str">
        <f>IF(G18-'[1]WL and Velocity'!B18=0,"","NO")</f>
        <v/>
      </c>
    </row>
    <row r="19" spans="1:13" x14ac:dyDescent="0.35">
      <c r="A19">
        <v>-38424.832000000002</v>
      </c>
      <c r="B19">
        <v>3769547.2680000002</v>
      </c>
      <c r="D19">
        <f t="shared" si="0"/>
        <v>38424.832000000002</v>
      </c>
      <c r="E19">
        <f t="shared" si="0"/>
        <v>-3769547.2680000002</v>
      </c>
      <c r="F19" t="s">
        <v>18</v>
      </c>
      <c r="G19">
        <v>1600</v>
      </c>
      <c r="H19">
        <v>256.846</v>
      </c>
      <c r="I19" t="str">
        <f>IF(G19-'[1]WL and Velocity'!B19=0,"","NO")</f>
        <v/>
      </c>
      <c r="M19" s="7"/>
    </row>
    <row r="20" spans="1:13" x14ac:dyDescent="0.35">
      <c r="A20">
        <v>-38503.063000000002</v>
      </c>
      <c r="B20">
        <v>3769609.557</v>
      </c>
      <c r="D20">
        <f t="shared" si="0"/>
        <v>38503.063000000002</v>
      </c>
      <c r="E20">
        <f t="shared" si="0"/>
        <v>-3769609.557</v>
      </c>
      <c r="F20" t="s">
        <v>18</v>
      </c>
      <c r="G20">
        <v>1700</v>
      </c>
      <c r="H20">
        <v>255.12700000000001</v>
      </c>
      <c r="I20" t="str">
        <f>IF(G20-'[1]WL and Velocity'!B20=0,"","NO")</f>
        <v/>
      </c>
    </row>
    <row r="21" spans="1:13" x14ac:dyDescent="0.35">
      <c r="A21">
        <v>-38573.409</v>
      </c>
      <c r="B21">
        <v>3769679.4909999999</v>
      </c>
      <c r="D21">
        <f t="shared" si="0"/>
        <v>38573.409</v>
      </c>
      <c r="E21">
        <f t="shared" si="0"/>
        <v>-3769679.4909999999</v>
      </c>
      <c r="F21" t="s">
        <v>18</v>
      </c>
      <c r="G21">
        <v>1800</v>
      </c>
      <c r="H21">
        <v>253.786</v>
      </c>
      <c r="I21" t="str">
        <f>IF(G21-'[1]WL and Velocity'!B21=0,"","NO")</f>
        <v/>
      </c>
    </row>
    <row r="22" spans="1:13" x14ac:dyDescent="0.35">
      <c r="A22">
        <v>-38633.262000000002</v>
      </c>
      <c r="B22">
        <v>3769759.6009999998</v>
      </c>
      <c r="D22">
        <f t="shared" si="0"/>
        <v>38633.262000000002</v>
      </c>
      <c r="E22">
        <f t="shared" si="0"/>
        <v>-3769759.6009999998</v>
      </c>
      <c r="F22" t="s">
        <v>18</v>
      </c>
      <c r="G22">
        <v>1900</v>
      </c>
      <c r="H22">
        <v>253.08199999999999</v>
      </c>
      <c r="I22" t="str">
        <f>IF(G22-'[1]WL and Velocity'!B22=0,"","NO")</f>
        <v/>
      </c>
    </row>
    <row r="23" spans="1:13" x14ac:dyDescent="0.35">
      <c r="A23">
        <v>-38717.680999999997</v>
      </c>
      <c r="B23">
        <v>3769812.5729999999</v>
      </c>
      <c r="D23">
        <f t="shared" si="0"/>
        <v>38717.680999999997</v>
      </c>
      <c r="E23">
        <f t="shared" si="0"/>
        <v>-3769812.5729999999</v>
      </c>
      <c r="F23" t="s">
        <v>18</v>
      </c>
      <c r="G23">
        <v>2000</v>
      </c>
      <c r="H23">
        <v>251.23400000000001</v>
      </c>
      <c r="I23" t="str">
        <f>IF(G23-'[1]WL and Velocity'!B23=0,"","NO")</f>
        <v/>
      </c>
    </row>
    <row r="24" spans="1:13" x14ac:dyDescent="0.35">
      <c r="A24">
        <v>-38816.186000000002</v>
      </c>
      <c r="B24">
        <v>3769829.8</v>
      </c>
      <c r="D24">
        <f t="shared" si="0"/>
        <v>38816.186000000002</v>
      </c>
      <c r="E24">
        <f t="shared" si="0"/>
        <v>-3769829.8</v>
      </c>
      <c r="F24" t="s">
        <v>18</v>
      </c>
      <c r="G24">
        <v>2100</v>
      </c>
      <c r="H24">
        <v>250.93199999999999</v>
      </c>
      <c r="I24" t="str">
        <f>IF(G24-'[1]WL and Velocity'!B24=0,"","NO")</f>
        <v/>
      </c>
    </row>
    <row r="25" spans="1:13" x14ac:dyDescent="0.35">
      <c r="A25">
        <v>-38914.690999999999</v>
      </c>
      <c r="B25">
        <v>3769847.0269999998</v>
      </c>
      <c r="D25">
        <f t="shared" si="0"/>
        <v>38914.690999999999</v>
      </c>
      <c r="E25">
        <f t="shared" si="0"/>
        <v>-3769847.0269999998</v>
      </c>
      <c r="F25" t="s">
        <v>18</v>
      </c>
      <c r="G25">
        <v>2200</v>
      </c>
      <c r="H25">
        <v>249.518</v>
      </c>
      <c r="I25" t="str">
        <f>IF(G25-'[1]WL and Velocity'!B25=0,"","NO")</f>
        <v/>
      </c>
    </row>
    <row r="26" spans="1:13" x14ac:dyDescent="0.35">
      <c r="A26">
        <v>-39013.196000000004</v>
      </c>
      <c r="B26">
        <v>3769864.2549999999</v>
      </c>
      <c r="D26">
        <f t="shared" si="0"/>
        <v>39013.196000000004</v>
      </c>
      <c r="E26">
        <f t="shared" si="0"/>
        <v>-3769864.2549999999</v>
      </c>
      <c r="F26" t="s">
        <v>18</v>
      </c>
      <c r="G26">
        <v>2300</v>
      </c>
      <c r="H26">
        <v>248.44900000000001</v>
      </c>
      <c r="I26" t="str">
        <f>IF(G26-'[1]WL and Velocity'!B26=0,"","NO")</f>
        <v/>
      </c>
    </row>
    <row r="27" spans="1:13" x14ac:dyDescent="0.35">
      <c r="A27">
        <v>-39109.849000000002</v>
      </c>
      <c r="B27">
        <v>3769889.8160000001</v>
      </c>
      <c r="D27">
        <f t="shared" si="0"/>
        <v>39109.849000000002</v>
      </c>
      <c r="E27">
        <f t="shared" si="0"/>
        <v>-3769889.8160000001</v>
      </c>
      <c r="F27" t="s">
        <v>18</v>
      </c>
      <c r="G27">
        <v>2400</v>
      </c>
      <c r="H27">
        <v>247.45</v>
      </c>
      <c r="I27" t="str">
        <f>IF(G27-'[1]WL and Velocity'!B27=0,"","NO")</f>
        <v/>
      </c>
    </row>
    <row r="28" spans="1:13" x14ac:dyDescent="0.35">
      <c r="A28">
        <v>-39204.387999999999</v>
      </c>
      <c r="B28">
        <v>3769920.8739999998</v>
      </c>
      <c r="D28">
        <f t="shared" si="0"/>
        <v>39204.387999999999</v>
      </c>
      <c r="E28">
        <f t="shared" si="0"/>
        <v>-3769920.8739999998</v>
      </c>
      <c r="F28" t="s">
        <v>18</v>
      </c>
      <c r="G28">
        <v>2500</v>
      </c>
      <c r="H28">
        <v>246.88300000000001</v>
      </c>
      <c r="I28" t="str">
        <f>IF(G28-'[1]WL and Velocity'!B28=0,"","NO")</f>
        <v/>
      </c>
    </row>
    <row r="29" spans="1:13" x14ac:dyDescent="0.35">
      <c r="A29">
        <v>-39292.089999999997</v>
      </c>
      <c r="B29">
        <v>3769968.92</v>
      </c>
      <c r="D29">
        <f t="shared" si="0"/>
        <v>39292.089999999997</v>
      </c>
      <c r="E29">
        <f t="shared" si="0"/>
        <v>-3769968.92</v>
      </c>
      <c r="F29" t="s">
        <v>18</v>
      </c>
      <c r="G29">
        <v>2600</v>
      </c>
      <c r="H29">
        <v>246.09200000000001</v>
      </c>
      <c r="I29" t="str">
        <f>IF(G29-'[1]WL and Velocity'!B29=0,"","NO")</f>
        <v/>
      </c>
    </row>
    <row r="30" spans="1:13" x14ac:dyDescent="0.35">
      <c r="A30">
        <v>-39379.792000000001</v>
      </c>
      <c r="B30">
        <v>3770016.9649999999</v>
      </c>
      <c r="D30">
        <f t="shared" si="0"/>
        <v>39379.792000000001</v>
      </c>
      <c r="E30">
        <f t="shared" si="0"/>
        <v>-3770016.9649999999</v>
      </c>
      <c r="F30" t="s">
        <v>18</v>
      </c>
      <c r="G30">
        <v>2700</v>
      </c>
      <c r="H30">
        <v>245.38499999999999</v>
      </c>
      <c r="I30" t="str">
        <f>IF(G30-'[1]WL and Velocity'!B30=0,"","NO")</f>
        <v/>
      </c>
    </row>
    <row r="31" spans="1:13" x14ac:dyDescent="0.35">
      <c r="A31">
        <v>-39463.319000000003</v>
      </c>
      <c r="B31">
        <v>3770071.52</v>
      </c>
      <c r="D31">
        <f t="shared" si="0"/>
        <v>39463.319000000003</v>
      </c>
      <c r="E31">
        <f t="shared" si="0"/>
        <v>-3770071.52</v>
      </c>
      <c r="F31" t="s">
        <v>18</v>
      </c>
      <c r="G31">
        <v>2800</v>
      </c>
      <c r="H31">
        <v>244.42599999999999</v>
      </c>
      <c r="I31" t="str">
        <f>IF(G31-'[1]WL and Velocity'!B31=0,"","NO")</f>
        <v/>
      </c>
    </row>
    <row r="32" spans="1:13" x14ac:dyDescent="0.35">
      <c r="A32">
        <v>-39543.571000000004</v>
      </c>
      <c r="B32">
        <v>3770131.1839999999</v>
      </c>
      <c r="D32">
        <f t="shared" si="0"/>
        <v>39543.571000000004</v>
      </c>
      <c r="E32">
        <f t="shared" si="0"/>
        <v>-3770131.1839999999</v>
      </c>
      <c r="F32" t="s">
        <v>18</v>
      </c>
      <c r="G32">
        <v>2900</v>
      </c>
      <c r="H32">
        <v>243.37899999999999</v>
      </c>
      <c r="I32" t="str">
        <f>IF(G32-'[1]WL and Velocity'!B32=0,"","NO")</f>
        <v/>
      </c>
    </row>
    <row r="33" spans="1:9" x14ac:dyDescent="0.35">
      <c r="A33">
        <v>-39636.038999999997</v>
      </c>
      <c r="B33">
        <v>3770168.7940000002</v>
      </c>
      <c r="D33">
        <f t="shared" si="0"/>
        <v>39636.038999999997</v>
      </c>
      <c r="E33">
        <f t="shared" si="0"/>
        <v>-3770168.7940000002</v>
      </c>
      <c r="F33" t="s">
        <v>18</v>
      </c>
      <c r="G33">
        <v>3000</v>
      </c>
      <c r="H33">
        <v>242.83199999999999</v>
      </c>
      <c r="I33" t="str">
        <f>IF(G33-'[1]WL and Velocity'!B33=0,"","NO")</f>
        <v/>
      </c>
    </row>
    <row r="34" spans="1:9" x14ac:dyDescent="0.35">
      <c r="A34">
        <v>-39730.648999999998</v>
      </c>
      <c r="B34">
        <v>3770198.19</v>
      </c>
      <c r="D34">
        <f t="shared" si="0"/>
        <v>39730.648999999998</v>
      </c>
      <c r="E34">
        <f t="shared" si="0"/>
        <v>-3770198.19</v>
      </c>
      <c r="F34" t="s">
        <v>18</v>
      </c>
      <c r="G34">
        <v>3100</v>
      </c>
      <c r="H34">
        <v>241.32900000000001</v>
      </c>
      <c r="I34" t="str">
        <f>IF(G34-'[1]WL and Velocity'!B34=0,"","NO")</f>
        <v/>
      </c>
    </row>
    <row r="35" spans="1:9" x14ac:dyDescent="0.35">
      <c r="A35">
        <v>-39830.565000000002</v>
      </c>
      <c r="B35">
        <v>3770202.2689999999</v>
      </c>
      <c r="D35">
        <f t="shared" si="0"/>
        <v>39830.565000000002</v>
      </c>
      <c r="E35">
        <f t="shared" si="0"/>
        <v>-3770202.2689999999</v>
      </c>
      <c r="F35" t="s">
        <v>18</v>
      </c>
      <c r="G35">
        <v>3200</v>
      </c>
      <c r="H35">
        <v>240.42699999999999</v>
      </c>
      <c r="I35" t="str">
        <f>IF(G35-'[1]WL and Velocity'!B35=0,"","NO")</f>
        <v/>
      </c>
    </row>
    <row r="36" spans="1:9" x14ac:dyDescent="0.35">
      <c r="A36">
        <v>-39925.732000000004</v>
      </c>
      <c r="B36">
        <v>3770226.656</v>
      </c>
      <c r="D36">
        <f t="shared" si="0"/>
        <v>39925.732000000004</v>
      </c>
      <c r="E36">
        <f t="shared" si="0"/>
        <v>-3770226.656</v>
      </c>
      <c r="F36" t="s">
        <v>18</v>
      </c>
      <c r="G36">
        <v>3300</v>
      </c>
      <c r="H36">
        <v>239.95500000000001</v>
      </c>
      <c r="I36" t="str">
        <f>IF(G36-'[1]WL and Velocity'!B36=0,"","NO")</f>
        <v/>
      </c>
    </row>
    <row r="37" spans="1:9" x14ac:dyDescent="0.35">
      <c r="A37">
        <v>-40016.815999999999</v>
      </c>
      <c r="B37">
        <v>3770267.585</v>
      </c>
      <c r="D37">
        <f t="shared" si="0"/>
        <v>40016.815999999999</v>
      </c>
      <c r="E37">
        <f t="shared" si="0"/>
        <v>-3770267.585</v>
      </c>
      <c r="F37" t="s">
        <v>18</v>
      </c>
      <c r="G37">
        <v>3400</v>
      </c>
      <c r="H37">
        <v>239.232</v>
      </c>
      <c r="I37" t="str">
        <f>IF(G37-'[1]WL and Velocity'!B37=0,"","NO")</f>
        <v/>
      </c>
    </row>
    <row r="38" spans="1:9" x14ac:dyDescent="0.35">
      <c r="A38">
        <v>-40056.207999999999</v>
      </c>
      <c r="B38">
        <v>3770359.4989999998</v>
      </c>
      <c r="D38">
        <f t="shared" si="0"/>
        <v>40056.207999999999</v>
      </c>
      <c r="E38">
        <f t="shared" si="0"/>
        <v>-3770359.4989999998</v>
      </c>
      <c r="F38" t="s">
        <v>18</v>
      </c>
      <c r="G38">
        <v>3500</v>
      </c>
      <c r="H38">
        <v>238.48599999999999</v>
      </c>
      <c r="I38" t="str">
        <f>IF(G38-'[1]WL and Velocity'!B38=0,"","NO")</f>
        <v/>
      </c>
    </row>
    <row r="39" spans="1:9" x14ac:dyDescent="0.35">
      <c r="A39">
        <v>-40113.506999999998</v>
      </c>
      <c r="B39">
        <v>3770439.1970000002</v>
      </c>
      <c r="D39">
        <f t="shared" si="0"/>
        <v>40113.506999999998</v>
      </c>
      <c r="E39">
        <f t="shared" si="0"/>
        <v>-3770439.1970000002</v>
      </c>
      <c r="F39" t="s">
        <v>18</v>
      </c>
      <c r="G39">
        <v>3600</v>
      </c>
      <c r="H39">
        <v>237.458</v>
      </c>
      <c r="I39" t="str">
        <f>IF(G39-'[1]WL and Velocity'!B39=0,"","NO")</f>
        <v/>
      </c>
    </row>
    <row r="40" spans="1:9" x14ac:dyDescent="0.35">
      <c r="A40">
        <v>-40197.197</v>
      </c>
      <c r="B40">
        <v>3770493.9330000002</v>
      </c>
      <c r="D40">
        <f t="shared" si="0"/>
        <v>40197.197</v>
      </c>
      <c r="E40">
        <f t="shared" si="0"/>
        <v>-3770493.9330000002</v>
      </c>
      <c r="F40" t="s">
        <v>18</v>
      </c>
      <c r="G40">
        <v>3700</v>
      </c>
      <c r="H40">
        <v>236.71</v>
      </c>
      <c r="I40" t="str">
        <f>IF(G40-'[1]WL and Velocity'!B40=0,"","NO")</f>
        <v/>
      </c>
    </row>
    <row r="41" spans="1:9" x14ac:dyDescent="0.35">
      <c r="A41">
        <v>-40253.909</v>
      </c>
      <c r="B41">
        <v>3770569.0989999999</v>
      </c>
      <c r="D41">
        <f t="shared" si="0"/>
        <v>40253.909</v>
      </c>
      <c r="E41">
        <f t="shared" si="0"/>
        <v>-3770569.0989999999</v>
      </c>
      <c r="F41" t="s">
        <v>18</v>
      </c>
      <c r="G41">
        <v>3800</v>
      </c>
      <c r="H41">
        <v>236.256</v>
      </c>
      <c r="I41" t="str">
        <f>IF(G41-'[1]WL and Velocity'!B41=0,"","NO")</f>
        <v/>
      </c>
    </row>
    <row r="42" spans="1:9" x14ac:dyDescent="0.35">
      <c r="A42">
        <v>-40286.006000000001</v>
      </c>
      <c r="B42">
        <v>3770653.196</v>
      </c>
      <c r="D42">
        <f t="shared" ref="D42:E42" si="1">A42*-1</f>
        <v>40286.006000000001</v>
      </c>
      <c r="E42">
        <f t="shared" si="1"/>
        <v>-3770653.196</v>
      </c>
      <c r="F42" t="s">
        <v>18</v>
      </c>
      <c r="G42">
        <v>3890</v>
      </c>
      <c r="H42">
        <v>234.48</v>
      </c>
    </row>
    <row r="43" spans="1:9" x14ac:dyDescent="0.35">
      <c r="D43">
        <v>40293.006000000001</v>
      </c>
      <c r="E43">
        <v>-3770666.4620759031</v>
      </c>
      <c r="F43" t="s">
        <v>18</v>
      </c>
      <c r="G43" s="8">
        <v>3905</v>
      </c>
      <c r="H43" s="7"/>
    </row>
  </sheetData>
  <mergeCells count="2">
    <mergeCell ref="A1:B1"/>
    <mergeCell ref="D1:G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A189"/>
  <sheetViews>
    <sheetView zoomScale="80" zoomScaleNormal="80" workbookViewId="0">
      <selection activeCell="Z7" sqref="Z7:AA56"/>
    </sheetView>
  </sheetViews>
  <sheetFormatPr defaultRowHeight="14.5" x14ac:dyDescent="0.35"/>
  <cols>
    <col min="2" max="2" width="11" bestFit="1" customWidth="1"/>
    <col min="5" max="5" width="13.08984375" bestFit="1" customWidth="1"/>
    <col min="8" max="8" width="14.08984375" bestFit="1" customWidth="1"/>
    <col min="11" max="11" width="14.08984375" bestFit="1" customWidth="1"/>
    <col min="14" max="14" width="14.08984375" bestFit="1" customWidth="1"/>
    <col min="17" max="17" width="14.08984375" bestFit="1" customWidth="1"/>
    <col min="20" max="20" width="14.08984375" bestFit="1" customWidth="1"/>
    <col min="23" max="23" width="14.08984375" bestFit="1" customWidth="1"/>
    <col min="26" max="26" width="14.08984375" bestFit="1" customWidth="1"/>
  </cols>
  <sheetData>
    <row r="2" spans="2:27" x14ac:dyDescent="0.35">
      <c r="B2" s="21" t="s">
        <v>28</v>
      </c>
      <c r="C2" s="22"/>
      <c r="D2" s="22"/>
      <c r="E2" s="22"/>
      <c r="F2" s="23"/>
    </row>
    <row r="3" spans="2:27" ht="15" thickBot="1" x14ac:dyDescent="0.4"/>
    <row r="4" spans="2:27" x14ac:dyDescent="0.35">
      <c r="B4" s="15" t="s">
        <v>19</v>
      </c>
      <c r="C4" s="16"/>
      <c r="E4" s="15" t="s">
        <v>20</v>
      </c>
      <c r="F4" s="16"/>
      <c r="H4" s="15" t="s">
        <v>21</v>
      </c>
      <c r="I4" s="16"/>
      <c r="K4" s="15" t="s">
        <v>22</v>
      </c>
      <c r="L4" s="16"/>
      <c r="N4" s="15" t="s">
        <v>23</v>
      </c>
      <c r="O4" s="16"/>
      <c r="Q4" s="15" t="s">
        <v>24</v>
      </c>
      <c r="R4" s="16"/>
      <c r="T4" s="15" t="s">
        <v>25</v>
      </c>
      <c r="U4" s="16"/>
      <c r="W4" s="15" t="s">
        <v>26</v>
      </c>
      <c r="X4" s="16"/>
      <c r="Z4" s="15" t="s">
        <v>27</v>
      </c>
      <c r="AA4" s="16"/>
    </row>
    <row r="5" spans="2:27" ht="15" thickBot="1" x14ac:dyDescent="0.4">
      <c r="B5" s="17" t="s">
        <v>0</v>
      </c>
      <c r="C5" s="18"/>
      <c r="E5" s="17" t="s">
        <v>1</v>
      </c>
      <c r="F5" s="18"/>
      <c r="H5" s="17" t="s">
        <v>2</v>
      </c>
      <c r="I5" s="18"/>
      <c r="K5" s="17" t="s">
        <v>3</v>
      </c>
      <c r="L5" s="18"/>
      <c r="N5" s="17" t="s">
        <v>4</v>
      </c>
      <c r="O5" s="18"/>
      <c r="Q5" s="19" t="s">
        <v>5</v>
      </c>
      <c r="R5" s="20"/>
      <c r="T5" s="17" t="s">
        <v>6</v>
      </c>
      <c r="U5" s="18"/>
      <c r="W5" s="17" t="s">
        <v>7</v>
      </c>
      <c r="X5" s="18"/>
      <c r="Z5" s="17" t="s">
        <v>8</v>
      </c>
      <c r="AA5" s="18"/>
    </row>
    <row r="6" spans="2:27" x14ac:dyDescent="0.35">
      <c r="B6" s="9" t="s">
        <v>9</v>
      </c>
      <c r="C6" s="10" t="s">
        <v>10</v>
      </c>
      <c r="E6" s="9" t="s">
        <v>9</v>
      </c>
      <c r="F6" s="10" t="s">
        <v>10</v>
      </c>
      <c r="H6" s="9" t="s">
        <v>9</v>
      </c>
      <c r="I6" s="10" t="s">
        <v>10</v>
      </c>
      <c r="K6" s="9" t="s">
        <v>9</v>
      </c>
      <c r="L6" s="10" t="s">
        <v>10</v>
      </c>
      <c r="N6" s="9" t="s">
        <v>9</v>
      </c>
      <c r="O6" s="10" t="s">
        <v>10</v>
      </c>
      <c r="Q6" s="1" t="s">
        <v>9</v>
      </c>
      <c r="R6" s="2" t="s">
        <v>10</v>
      </c>
      <c r="T6" s="9" t="s">
        <v>9</v>
      </c>
      <c r="U6" s="10" t="s">
        <v>10</v>
      </c>
      <c r="W6" s="9" t="s">
        <v>9</v>
      </c>
      <c r="X6" s="10" t="s">
        <v>10</v>
      </c>
      <c r="Z6" s="9" t="s">
        <v>9</v>
      </c>
      <c r="AA6" s="10" t="s">
        <v>10</v>
      </c>
    </row>
    <row r="7" spans="2:27" x14ac:dyDescent="0.35">
      <c r="B7" s="3">
        <v>-210.61</v>
      </c>
      <c r="C7" s="4">
        <v>293.36</v>
      </c>
      <c r="E7" s="3">
        <v>-156.006</v>
      </c>
      <c r="F7" s="4">
        <v>284.608</v>
      </c>
      <c r="H7" s="3">
        <v>-90.173000000000002</v>
      </c>
      <c r="I7" s="4">
        <v>269.71499999999997</v>
      </c>
      <c r="K7" s="3">
        <v>-130.774</v>
      </c>
      <c r="L7" s="4">
        <v>267.38600000000002</v>
      </c>
      <c r="N7" s="3">
        <v>-288.63200000000001</v>
      </c>
      <c r="O7" s="4">
        <v>273.5</v>
      </c>
      <c r="Q7" s="3">
        <v>-300</v>
      </c>
      <c r="R7" s="4">
        <v>257.01600000000002</v>
      </c>
      <c r="T7" s="3">
        <v>-300</v>
      </c>
      <c r="U7" s="4">
        <v>253.31299999999999</v>
      </c>
      <c r="W7" s="3">
        <v>-300</v>
      </c>
      <c r="X7" s="4">
        <v>265.16300000000001</v>
      </c>
      <c r="Z7" s="3">
        <v>-179.041</v>
      </c>
      <c r="AA7" s="4">
        <v>240.13399999999999</v>
      </c>
    </row>
    <row r="8" spans="2:27" x14ac:dyDescent="0.35">
      <c r="B8" s="3">
        <v>-203.03800000000001</v>
      </c>
      <c r="C8" s="4">
        <v>292.97899999999998</v>
      </c>
      <c r="E8" s="3">
        <v>-151.18600000000001</v>
      </c>
      <c r="F8" s="4">
        <v>283.48</v>
      </c>
      <c r="H8" s="3">
        <v>-89.207999999999998</v>
      </c>
      <c r="I8" s="4">
        <v>269.86500000000001</v>
      </c>
      <c r="K8" s="3">
        <v>-115.11499999999999</v>
      </c>
      <c r="L8" s="4">
        <v>263.73</v>
      </c>
      <c r="N8" s="3">
        <v>-285.85378582539084</v>
      </c>
      <c r="O8" s="4">
        <v>273</v>
      </c>
      <c r="Q8" s="3">
        <v>-296.81599999999997</v>
      </c>
      <c r="R8" s="4">
        <v>256.71699999999998</v>
      </c>
      <c r="T8" s="3">
        <v>-290.779</v>
      </c>
      <c r="U8" s="4">
        <v>251.881</v>
      </c>
      <c r="W8" s="3">
        <v>-297.709</v>
      </c>
      <c r="X8" s="4">
        <v>265.04599999999999</v>
      </c>
      <c r="Z8" s="3">
        <v>-176.97</v>
      </c>
      <c r="AA8" s="4">
        <v>240.07499999999999</v>
      </c>
    </row>
    <row r="9" spans="2:27" x14ac:dyDescent="0.35">
      <c r="B9" s="3">
        <v>-198.46100000000001</v>
      </c>
      <c r="C9" s="4">
        <v>292.79399999999998</v>
      </c>
      <c r="E9" s="3">
        <v>-145.90299999999999</v>
      </c>
      <c r="F9" s="4">
        <v>282.553</v>
      </c>
      <c r="H9" s="3">
        <v>-89.206000000000003</v>
      </c>
      <c r="I9" s="4">
        <v>269.86500000000001</v>
      </c>
      <c r="K9" s="3">
        <v>-110.59</v>
      </c>
      <c r="L9" s="4">
        <v>261.94900000000001</v>
      </c>
      <c r="N9" s="3">
        <v>-282.94627744191189</v>
      </c>
      <c r="O9" s="4">
        <v>272.5</v>
      </c>
      <c r="Q9" s="3">
        <v>-288.40199999999999</v>
      </c>
      <c r="R9" s="4">
        <v>256.08800000000002</v>
      </c>
      <c r="T9" s="3">
        <v>-290.04300000000001</v>
      </c>
      <c r="U9" s="4">
        <v>251.785</v>
      </c>
      <c r="W9" s="3">
        <v>-294.54500000000002</v>
      </c>
      <c r="X9" s="4">
        <v>264.89699999999999</v>
      </c>
      <c r="Z9" s="3">
        <v>-176.75299999999999</v>
      </c>
      <c r="AA9" s="4">
        <v>240.08699999999999</v>
      </c>
    </row>
    <row r="10" spans="2:27" x14ac:dyDescent="0.35">
      <c r="B10" s="3">
        <v>-193.82</v>
      </c>
      <c r="C10" s="4">
        <v>292.67700000000002</v>
      </c>
      <c r="E10" s="3">
        <v>-137.57599999999999</v>
      </c>
      <c r="F10" s="4">
        <v>280.56900000000002</v>
      </c>
      <c r="H10" s="3">
        <v>-83.058999999999997</v>
      </c>
      <c r="I10" s="4">
        <v>268.88499999999999</v>
      </c>
      <c r="K10" s="3">
        <v>-106.77500000000001</v>
      </c>
      <c r="L10" s="4">
        <v>261.60500000000002</v>
      </c>
      <c r="N10" s="3">
        <v>-280.35582091843969</v>
      </c>
      <c r="O10" s="4">
        <v>272</v>
      </c>
      <c r="Q10" s="3">
        <v>-282.303</v>
      </c>
      <c r="R10" s="4">
        <v>255.494</v>
      </c>
      <c r="T10" s="3">
        <v>-283.05200000000002</v>
      </c>
      <c r="U10" s="4">
        <v>250.71299999999999</v>
      </c>
      <c r="W10" s="3">
        <v>-288.68799999999999</v>
      </c>
      <c r="X10" s="4">
        <v>264.536</v>
      </c>
      <c r="Z10" s="3">
        <v>-176.41</v>
      </c>
      <c r="AA10" s="4">
        <v>240.08099999999999</v>
      </c>
    </row>
    <row r="11" spans="2:27" x14ac:dyDescent="0.35">
      <c r="B11" s="3">
        <v>-192.62299999999999</v>
      </c>
      <c r="C11" s="4">
        <v>292.57499999999999</v>
      </c>
      <c r="E11" s="3">
        <v>-135.417</v>
      </c>
      <c r="F11" s="4">
        <v>280.096</v>
      </c>
      <c r="H11" s="3">
        <v>-77.692999999999998</v>
      </c>
      <c r="I11" s="4">
        <v>268.63099999999997</v>
      </c>
      <c r="K11" s="3">
        <v>-100.85899999999999</v>
      </c>
      <c r="L11" s="4">
        <v>261.43700000000001</v>
      </c>
      <c r="N11" s="3">
        <v>-277.6423662937961</v>
      </c>
      <c r="O11" s="4">
        <v>271.5</v>
      </c>
      <c r="Q11" s="3">
        <v>-275.84899999999999</v>
      </c>
      <c r="R11" s="4">
        <v>255.01499999999999</v>
      </c>
      <c r="T11" s="3">
        <v>-265.89</v>
      </c>
      <c r="U11" s="4">
        <v>247.93199999999999</v>
      </c>
      <c r="W11" s="3">
        <v>-285.21899999999999</v>
      </c>
      <c r="X11" s="4">
        <v>264.35599999999999</v>
      </c>
      <c r="Z11" s="3">
        <v>-173.61500000000001</v>
      </c>
      <c r="AA11" s="4">
        <v>239.86500000000001</v>
      </c>
    </row>
    <row r="12" spans="2:27" x14ac:dyDescent="0.35">
      <c r="B12" s="3">
        <v>-191.40799999999999</v>
      </c>
      <c r="C12" s="4">
        <v>292.53199999999998</v>
      </c>
      <c r="E12" s="3">
        <v>-132.98099999999999</v>
      </c>
      <c r="F12" s="4">
        <v>280.03399999999999</v>
      </c>
      <c r="H12" s="3">
        <v>-74.884</v>
      </c>
      <c r="I12" s="4">
        <v>268.56</v>
      </c>
      <c r="K12" s="3">
        <v>-87.430999999999997</v>
      </c>
      <c r="L12" s="4">
        <v>261.18299999999999</v>
      </c>
      <c r="N12" s="3">
        <v>-274.92988606345335</v>
      </c>
      <c r="O12" s="4">
        <v>271</v>
      </c>
      <c r="Q12" s="3">
        <v>-267.911</v>
      </c>
      <c r="R12" s="4">
        <v>254.38900000000001</v>
      </c>
      <c r="T12" s="3">
        <v>-265.00900000000001</v>
      </c>
      <c r="U12" s="4">
        <v>247.78700000000001</v>
      </c>
      <c r="W12" s="3">
        <v>-277.642</v>
      </c>
      <c r="X12" s="4">
        <v>263.916</v>
      </c>
      <c r="Z12" s="3">
        <v>-166.71199999999999</v>
      </c>
      <c r="AA12" s="4">
        <v>239.43600000000001</v>
      </c>
    </row>
    <row r="13" spans="2:27" x14ac:dyDescent="0.35">
      <c r="B13" s="3">
        <v>-189.21899999999999</v>
      </c>
      <c r="C13" s="4">
        <v>292.43299999999999</v>
      </c>
      <c r="E13" s="3">
        <v>-122.14</v>
      </c>
      <c r="F13" s="4">
        <v>279.82499999999999</v>
      </c>
      <c r="H13" s="3">
        <v>-74.084000000000003</v>
      </c>
      <c r="I13" s="4">
        <v>268.57299999999998</v>
      </c>
      <c r="K13" s="3">
        <v>-77.477999999999994</v>
      </c>
      <c r="L13" s="4">
        <v>261.16800000000001</v>
      </c>
      <c r="N13" s="3">
        <v>-272.2174058331106</v>
      </c>
      <c r="O13" s="4">
        <v>270.5</v>
      </c>
      <c r="Q13" s="3">
        <v>-263.19200000000001</v>
      </c>
      <c r="R13" s="4">
        <v>253.995</v>
      </c>
      <c r="T13" s="3">
        <v>-264.42899999999997</v>
      </c>
      <c r="U13" s="4">
        <v>247.72</v>
      </c>
      <c r="W13" s="3">
        <v>-275.48</v>
      </c>
      <c r="X13" s="4">
        <v>263.81099999999998</v>
      </c>
      <c r="Z13" s="3">
        <v>-161.07</v>
      </c>
      <c r="AA13" s="4">
        <v>238.94</v>
      </c>
    </row>
    <row r="14" spans="2:27" x14ac:dyDescent="0.35">
      <c r="B14" s="3">
        <v>-184.37200000000001</v>
      </c>
      <c r="C14" s="4">
        <v>292.23500000000001</v>
      </c>
      <c r="E14" s="3">
        <v>-119.768</v>
      </c>
      <c r="F14" s="4">
        <v>279.81700000000001</v>
      </c>
      <c r="H14" s="3">
        <v>-64.516000000000005</v>
      </c>
      <c r="I14" s="4">
        <v>268.61700000000002</v>
      </c>
      <c r="K14" s="3">
        <v>-69.555999999999997</v>
      </c>
      <c r="L14" s="4">
        <v>261.12900000000002</v>
      </c>
      <c r="N14" s="3">
        <v>-269.52021599922801</v>
      </c>
      <c r="O14" s="4">
        <v>270</v>
      </c>
      <c r="Q14" s="3">
        <v>-252.09100000000001</v>
      </c>
      <c r="R14" s="4">
        <v>253.19900000000001</v>
      </c>
      <c r="T14" s="3">
        <v>-251.65199999999999</v>
      </c>
      <c r="U14" s="4">
        <v>246.249</v>
      </c>
      <c r="W14" s="3">
        <v>-273.74400000000003</v>
      </c>
      <c r="X14" s="4">
        <v>263.74200000000002</v>
      </c>
      <c r="Z14" s="3">
        <v>-159.50200000000001</v>
      </c>
      <c r="AA14" s="4">
        <v>238.81800000000001</v>
      </c>
    </row>
    <row r="15" spans="2:27" x14ac:dyDescent="0.35">
      <c r="B15" s="3">
        <v>-178.642</v>
      </c>
      <c r="C15" s="4">
        <v>291.99700000000001</v>
      </c>
      <c r="E15" s="3">
        <v>-111.279</v>
      </c>
      <c r="F15" s="4">
        <v>279.85300000000001</v>
      </c>
      <c r="H15" s="3">
        <v>-60.137</v>
      </c>
      <c r="I15" s="4">
        <v>268.66199999999998</v>
      </c>
      <c r="K15" s="3">
        <v>-64.789000000000001</v>
      </c>
      <c r="L15" s="4">
        <v>261.10199999999998</v>
      </c>
      <c r="N15" s="3">
        <v>-265.97957820357595</v>
      </c>
      <c r="O15" s="4">
        <v>269.5</v>
      </c>
      <c r="Q15" s="3">
        <v>-250.29</v>
      </c>
      <c r="R15" s="4">
        <v>253.08199999999999</v>
      </c>
      <c r="T15" s="3">
        <v>-242.196</v>
      </c>
      <c r="U15" s="4">
        <v>245.73699999999999</v>
      </c>
      <c r="W15" s="3">
        <v>-263.613</v>
      </c>
      <c r="X15" s="4">
        <v>263.38900000000001</v>
      </c>
      <c r="Z15" s="3">
        <v>-157.40100000000001</v>
      </c>
      <c r="AA15" s="4">
        <v>238.66</v>
      </c>
    </row>
    <row r="16" spans="2:27" x14ac:dyDescent="0.35">
      <c r="B16" s="3">
        <v>-178.09299999999999</v>
      </c>
      <c r="C16" s="4">
        <v>291.97899999999998</v>
      </c>
      <c r="E16" s="3">
        <v>-109.83</v>
      </c>
      <c r="F16" s="4">
        <v>279.85000000000002</v>
      </c>
      <c r="H16" s="3">
        <v>-56.2</v>
      </c>
      <c r="I16" s="4">
        <v>268.73500000000001</v>
      </c>
      <c r="K16" s="3">
        <v>-51.244</v>
      </c>
      <c r="L16" s="4">
        <v>260.89400000000001</v>
      </c>
      <c r="N16" s="3">
        <v>-262.26332511746881</v>
      </c>
      <c r="O16" s="4">
        <v>269</v>
      </c>
      <c r="Q16" s="3">
        <v>-241.05799999999999</v>
      </c>
      <c r="R16" s="4">
        <v>252.535</v>
      </c>
      <c r="T16" s="3">
        <v>-237.857</v>
      </c>
      <c r="U16" s="4">
        <v>245.56100000000001</v>
      </c>
      <c r="W16" s="3">
        <v>-241.86099999999999</v>
      </c>
      <c r="X16" s="4">
        <v>261.87</v>
      </c>
      <c r="Z16" s="3">
        <v>-151.05600000000001</v>
      </c>
      <c r="AA16" s="4">
        <v>238.17599999999999</v>
      </c>
    </row>
    <row r="17" spans="2:27" x14ac:dyDescent="0.35">
      <c r="B17" s="3">
        <v>-174.703</v>
      </c>
      <c r="C17" s="4">
        <v>291.83600000000001</v>
      </c>
      <c r="E17" s="3">
        <v>-100.949</v>
      </c>
      <c r="F17" s="4">
        <v>280.029</v>
      </c>
      <c r="H17" s="3">
        <v>-49.585000000000001</v>
      </c>
      <c r="I17" s="4">
        <v>268.84399999999999</v>
      </c>
      <c r="K17" s="3">
        <v>-43.061</v>
      </c>
      <c r="L17" s="4">
        <v>260.85399999999998</v>
      </c>
      <c r="N17" s="3">
        <v>-258.54707203136195</v>
      </c>
      <c r="O17" s="4">
        <v>268.5</v>
      </c>
      <c r="Q17" s="3">
        <v>-236.65899999999999</v>
      </c>
      <c r="R17" s="4">
        <v>252.28100000000001</v>
      </c>
      <c r="T17" s="3">
        <v>-225.28800000000001</v>
      </c>
      <c r="U17" s="4">
        <v>245.239</v>
      </c>
      <c r="W17" s="3">
        <v>-235.42699999999999</v>
      </c>
      <c r="X17" s="4">
        <v>261.38299999999998</v>
      </c>
      <c r="Z17" s="3">
        <v>-148.887</v>
      </c>
      <c r="AA17" s="4">
        <v>238.05600000000001</v>
      </c>
    </row>
    <row r="18" spans="2:27" x14ac:dyDescent="0.35">
      <c r="B18" s="3">
        <v>-168.57599999999999</v>
      </c>
      <c r="C18" s="4">
        <v>291.68700000000001</v>
      </c>
      <c r="E18" s="3">
        <v>-99.686999999999998</v>
      </c>
      <c r="F18" s="4">
        <v>280.06</v>
      </c>
      <c r="H18" s="3">
        <v>-49.552999999999997</v>
      </c>
      <c r="I18" s="4">
        <v>268.84399999999999</v>
      </c>
      <c r="K18" s="3">
        <v>-40.985999999999997</v>
      </c>
      <c r="L18" s="4">
        <v>260.74799999999999</v>
      </c>
      <c r="N18" s="3">
        <v>-254.27361710589469</v>
      </c>
      <c r="O18" s="4">
        <v>268</v>
      </c>
      <c r="Q18" s="3">
        <v>-235.989</v>
      </c>
      <c r="R18" s="4">
        <v>252.24799999999999</v>
      </c>
      <c r="T18" s="3">
        <v>-221.57900000000001</v>
      </c>
      <c r="U18" s="4">
        <v>245.11699999999999</v>
      </c>
      <c r="W18" s="3">
        <v>-230.423</v>
      </c>
      <c r="X18" s="4">
        <v>260.85700000000003</v>
      </c>
      <c r="Z18" s="3">
        <v>-145.11199999999999</v>
      </c>
      <c r="AA18" s="4">
        <v>237.87700000000001</v>
      </c>
    </row>
    <row r="19" spans="2:27" x14ac:dyDescent="0.35">
      <c r="B19" s="3">
        <v>-164.41</v>
      </c>
      <c r="C19" s="4">
        <v>291.63299999999998</v>
      </c>
      <c r="E19" s="3">
        <v>-98.52</v>
      </c>
      <c r="F19" s="4">
        <v>279.95</v>
      </c>
      <c r="H19" s="3">
        <v>-49.54</v>
      </c>
      <c r="I19" s="4">
        <v>268.84500000000003</v>
      </c>
      <c r="K19" s="3">
        <v>-39.5</v>
      </c>
      <c r="L19" s="4">
        <v>260.57799999999997</v>
      </c>
      <c r="N19" s="3">
        <v>-249.89950005213385</v>
      </c>
      <c r="O19" s="4">
        <v>267.5</v>
      </c>
      <c r="Q19" s="3">
        <v>-221.501</v>
      </c>
      <c r="R19" s="4">
        <v>251.51300000000001</v>
      </c>
      <c r="T19" s="3">
        <v>-181.005</v>
      </c>
      <c r="U19" s="4">
        <v>244.33699999999999</v>
      </c>
      <c r="W19" s="3">
        <v>-219.13</v>
      </c>
      <c r="X19" s="4">
        <v>258.66899999999998</v>
      </c>
      <c r="Z19" s="3">
        <v>-140.578</v>
      </c>
      <c r="AA19" s="4">
        <v>237.64599999999999</v>
      </c>
    </row>
    <row r="20" spans="2:27" x14ac:dyDescent="0.35">
      <c r="B20" s="3">
        <v>-157.02500000000001</v>
      </c>
      <c r="C20" s="4">
        <v>291.53699999999998</v>
      </c>
      <c r="E20" s="3">
        <v>-85.509</v>
      </c>
      <c r="F20" s="4">
        <v>278.72300000000001</v>
      </c>
      <c r="H20" s="3">
        <v>-42.148000000000003</v>
      </c>
      <c r="I20" s="4">
        <v>269.04700000000003</v>
      </c>
      <c r="K20" s="3">
        <v>-37.637999999999998</v>
      </c>
      <c r="L20" s="4">
        <v>260.45800000000003</v>
      </c>
      <c r="N20" s="3">
        <v>-245.94624506415263</v>
      </c>
      <c r="O20" s="4">
        <v>267</v>
      </c>
      <c r="Q20" s="3">
        <v>-219.249</v>
      </c>
      <c r="R20" s="4">
        <v>251.33699999999999</v>
      </c>
      <c r="T20" s="3">
        <v>-171.28700000000001</v>
      </c>
      <c r="U20" s="4">
        <v>244.16900000000001</v>
      </c>
      <c r="W20" s="3">
        <v>-210.69800000000001</v>
      </c>
      <c r="X20" s="4">
        <v>256.99799999999999</v>
      </c>
      <c r="Z20" s="3">
        <v>-135.69</v>
      </c>
      <c r="AA20" s="4">
        <v>237.31200000000001</v>
      </c>
    </row>
    <row r="21" spans="2:27" x14ac:dyDescent="0.35">
      <c r="B21" s="3">
        <v>-153.18799999999999</v>
      </c>
      <c r="C21" s="4">
        <v>291.488</v>
      </c>
      <c r="E21" s="3">
        <v>-84.361000000000004</v>
      </c>
      <c r="F21" s="4">
        <v>278.85599999999999</v>
      </c>
      <c r="H21" s="3">
        <v>-38.651000000000003</v>
      </c>
      <c r="I21" s="4">
        <v>269.11200000000002</v>
      </c>
      <c r="K21" s="3">
        <v>-31.824999999999999</v>
      </c>
      <c r="L21" s="4">
        <v>260.142</v>
      </c>
      <c r="N21" s="3">
        <v>-241.29922354494269</v>
      </c>
      <c r="O21" s="4">
        <v>266.5</v>
      </c>
      <c r="Q21" s="3">
        <v>-216.422</v>
      </c>
      <c r="R21" s="4">
        <v>251.215</v>
      </c>
      <c r="T21" s="3">
        <v>-167.56</v>
      </c>
      <c r="U21" s="4">
        <v>244.142</v>
      </c>
      <c r="W21" s="3">
        <v>-209.56200000000001</v>
      </c>
      <c r="X21" s="4">
        <v>256.733</v>
      </c>
      <c r="Z21" s="3">
        <v>-127.914</v>
      </c>
      <c r="AA21" s="4">
        <v>237.387</v>
      </c>
    </row>
    <row r="22" spans="2:27" x14ac:dyDescent="0.35">
      <c r="B22" s="3">
        <v>-151.399</v>
      </c>
      <c r="C22" s="4">
        <v>291.52</v>
      </c>
      <c r="E22" s="3">
        <v>-83.679000000000002</v>
      </c>
      <c r="F22" s="4">
        <v>278.85500000000002</v>
      </c>
      <c r="H22" s="3">
        <v>-33.613999999999997</v>
      </c>
      <c r="I22" s="4">
        <v>269.06400000000002</v>
      </c>
      <c r="K22" s="3">
        <v>-27.605</v>
      </c>
      <c r="L22" s="4">
        <v>259.76</v>
      </c>
      <c r="N22" s="3">
        <v>-236.62139627151754</v>
      </c>
      <c r="O22" s="4">
        <v>266</v>
      </c>
      <c r="Q22" s="3">
        <v>-205.018</v>
      </c>
      <c r="R22" s="4">
        <v>250.73500000000001</v>
      </c>
      <c r="T22" s="3">
        <v>-139.09299999999999</v>
      </c>
      <c r="U22" s="4">
        <v>244.06100000000001</v>
      </c>
      <c r="W22" s="3">
        <v>-209.30799999999999</v>
      </c>
      <c r="X22" s="4">
        <v>256.65699999999998</v>
      </c>
      <c r="Z22" s="3">
        <v>-101.416</v>
      </c>
      <c r="AA22" s="4">
        <v>237.56</v>
      </c>
    </row>
    <row r="23" spans="2:27" x14ac:dyDescent="0.35">
      <c r="B23" s="3">
        <v>-149.91200000000001</v>
      </c>
      <c r="C23" s="4">
        <v>291.625</v>
      </c>
      <c r="E23" s="3">
        <v>-67.244</v>
      </c>
      <c r="F23" s="4">
        <v>278.98200000000003</v>
      </c>
      <c r="H23" s="3">
        <v>-28.134</v>
      </c>
      <c r="I23" s="4">
        <v>269.08699999999999</v>
      </c>
      <c r="K23" s="3">
        <v>-25.454000000000001</v>
      </c>
      <c r="L23" s="4">
        <v>259.58699999999999</v>
      </c>
      <c r="N23" s="3">
        <v>-232.19196380222755</v>
      </c>
      <c r="O23" s="4">
        <v>265.5</v>
      </c>
      <c r="Q23" s="3">
        <v>-199.77199999999999</v>
      </c>
      <c r="R23" s="4">
        <v>250.648</v>
      </c>
      <c r="T23" s="3">
        <v>-133.08099999999999</v>
      </c>
      <c r="U23" s="4">
        <v>244.18100000000001</v>
      </c>
      <c r="W23" s="3">
        <v>-202.56100000000001</v>
      </c>
      <c r="X23" s="4">
        <v>255.06700000000001</v>
      </c>
      <c r="Z23" s="3">
        <v>-54.929000000000002</v>
      </c>
      <c r="AA23" s="4">
        <v>237.36699999999999</v>
      </c>
    </row>
    <row r="24" spans="2:27" x14ac:dyDescent="0.35">
      <c r="B24" s="3">
        <v>-141.483</v>
      </c>
      <c r="C24" s="4">
        <v>291.16500000000002</v>
      </c>
      <c r="E24" s="3">
        <v>-67.201999999999998</v>
      </c>
      <c r="F24" s="4">
        <v>278.983</v>
      </c>
      <c r="H24" s="3">
        <v>-26.164000000000001</v>
      </c>
      <c r="I24" s="4">
        <v>269.11099999999999</v>
      </c>
      <c r="K24" s="3">
        <v>-19.443000000000001</v>
      </c>
      <c r="L24" s="4">
        <v>259.17200000000003</v>
      </c>
      <c r="N24" s="3">
        <v>-228.0424813043733</v>
      </c>
      <c r="O24" s="4">
        <v>265</v>
      </c>
      <c r="Q24" s="3">
        <v>-193.85</v>
      </c>
      <c r="R24" s="4">
        <v>250.483</v>
      </c>
      <c r="T24" s="3">
        <v>-124.512</v>
      </c>
      <c r="U24" s="4">
        <v>244.16499999999999</v>
      </c>
      <c r="W24" s="3">
        <v>-190.072</v>
      </c>
      <c r="X24" s="4">
        <v>248.983</v>
      </c>
      <c r="Z24" s="3">
        <v>-51.253999999999998</v>
      </c>
      <c r="AA24" s="4">
        <v>237.364</v>
      </c>
    </row>
    <row r="25" spans="2:27" x14ac:dyDescent="0.35">
      <c r="B25" s="3">
        <v>-131.86099999999999</v>
      </c>
      <c r="C25" s="4">
        <v>290.79000000000002</v>
      </c>
      <c r="E25" s="3">
        <v>-67.188000000000002</v>
      </c>
      <c r="F25" s="4">
        <v>278.98099999999999</v>
      </c>
      <c r="H25" s="3">
        <v>-22.259</v>
      </c>
      <c r="I25" s="4">
        <v>269.07100000000003</v>
      </c>
      <c r="K25" s="3">
        <v>-18.954999999999998</v>
      </c>
      <c r="L25" s="4">
        <v>259.05099999999999</v>
      </c>
      <c r="N25" s="3">
        <v>-223.90049422085883</v>
      </c>
      <c r="O25" s="4">
        <v>264.5</v>
      </c>
      <c r="Q25" s="3">
        <v>-185.99299999999999</v>
      </c>
      <c r="R25" s="4">
        <v>250.226</v>
      </c>
      <c r="T25" s="3">
        <v>-119.23399999999999</v>
      </c>
      <c r="U25" s="4">
        <v>244.16900000000001</v>
      </c>
      <c r="W25" s="3">
        <v>-184.36699999999999</v>
      </c>
      <c r="X25" s="4">
        <v>246.53299999999999</v>
      </c>
      <c r="Z25" s="3">
        <v>-47.82</v>
      </c>
      <c r="AA25" s="4">
        <v>237.40100000000001</v>
      </c>
    </row>
    <row r="26" spans="2:27" x14ac:dyDescent="0.35">
      <c r="B26" s="3">
        <v>-130.49799999999999</v>
      </c>
      <c r="C26" s="4">
        <v>290.83</v>
      </c>
      <c r="E26" s="3">
        <v>-66.066000000000003</v>
      </c>
      <c r="F26" s="4">
        <v>279.01400000000001</v>
      </c>
      <c r="H26" s="3">
        <v>-20.55</v>
      </c>
      <c r="I26" s="4">
        <v>269.03300000000002</v>
      </c>
      <c r="K26" s="3">
        <v>-12.957000000000001</v>
      </c>
      <c r="L26" s="4">
        <v>258.55599999999998</v>
      </c>
      <c r="N26" s="3">
        <v>-219.15475929357933</v>
      </c>
      <c r="O26" s="4">
        <v>264</v>
      </c>
      <c r="Q26" s="3">
        <v>-178.84899999999999</v>
      </c>
      <c r="R26" s="4">
        <v>250.005</v>
      </c>
      <c r="T26" s="3">
        <v>-114.98099999999999</v>
      </c>
      <c r="U26" s="4">
        <v>244.16300000000001</v>
      </c>
      <c r="W26" s="3">
        <v>-180.62100000000001</v>
      </c>
      <c r="X26" s="4">
        <v>244.61500000000001</v>
      </c>
      <c r="Z26" s="3">
        <v>-40.332999999999998</v>
      </c>
      <c r="AA26" s="4">
        <v>237.423</v>
      </c>
    </row>
    <row r="27" spans="2:27" x14ac:dyDescent="0.35">
      <c r="B27" s="3">
        <v>-128.47200000000001</v>
      </c>
      <c r="C27" s="4">
        <v>291.12</v>
      </c>
      <c r="E27" s="3">
        <v>-54.680999999999997</v>
      </c>
      <c r="F27" s="4">
        <v>279.34300000000002</v>
      </c>
      <c r="H27" s="3">
        <v>-17.027000000000001</v>
      </c>
      <c r="I27" s="4">
        <v>268.92899999999997</v>
      </c>
      <c r="K27" s="3">
        <v>-9.5660000000000007</v>
      </c>
      <c r="L27" s="4">
        <v>258.28300000000002</v>
      </c>
      <c r="N27" s="3">
        <v>-213.53379629779283</v>
      </c>
      <c r="O27" s="4">
        <v>263.5</v>
      </c>
      <c r="Q27" s="3">
        <v>-174.779</v>
      </c>
      <c r="R27" s="4">
        <v>249.875</v>
      </c>
      <c r="T27" s="3">
        <v>-100.07</v>
      </c>
      <c r="U27" s="4">
        <v>244.13300000000001</v>
      </c>
      <c r="W27" s="3">
        <v>-168.82499999999999</v>
      </c>
      <c r="X27" s="4">
        <v>240.51900000000001</v>
      </c>
      <c r="Z27" s="3">
        <v>-37.185000000000002</v>
      </c>
      <c r="AA27" s="4">
        <v>237.52699999999999</v>
      </c>
    </row>
    <row r="28" spans="2:27" x14ac:dyDescent="0.35">
      <c r="B28" s="3">
        <v>-123.52800000000001</v>
      </c>
      <c r="C28" s="4">
        <v>291.22300000000001</v>
      </c>
      <c r="E28" s="3">
        <v>-54.231999999999999</v>
      </c>
      <c r="F28" s="4">
        <v>279.35199999999998</v>
      </c>
      <c r="H28" s="3">
        <v>-16.582999999999998</v>
      </c>
      <c r="I28" s="4">
        <v>269.012</v>
      </c>
      <c r="K28" s="3">
        <v>-9.3040000000000003</v>
      </c>
      <c r="L28" s="4">
        <v>258.226</v>
      </c>
      <c r="N28" s="3">
        <v>-208.8045511148911</v>
      </c>
      <c r="O28" s="4">
        <v>263</v>
      </c>
      <c r="Q28" s="3">
        <v>-165.99</v>
      </c>
      <c r="R28" s="4">
        <v>249.803</v>
      </c>
      <c r="T28" s="3">
        <v>-72.448999999999998</v>
      </c>
      <c r="U28" s="4">
        <v>244.13900000000001</v>
      </c>
      <c r="W28" s="3">
        <v>-165.22900000000001</v>
      </c>
      <c r="X28" s="4">
        <v>240.57400000000001</v>
      </c>
      <c r="Z28" s="3">
        <v>-26.646999999999998</v>
      </c>
      <c r="AA28" s="4">
        <v>237.48099999999999</v>
      </c>
    </row>
    <row r="29" spans="2:27" x14ac:dyDescent="0.35">
      <c r="B29" s="3">
        <v>-116.46899999999999</v>
      </c>
      <c r="C29" s="4">
        <v>291.13900000000001</v>
      </c>
      <c r="E29" s="3">
        <v>-48.421999999999997</v>
      </c>
      <c r="F29" s="4">
        <v>279.18700000000001</v>
      </c>
      <c r="H29" s="3">
        <v>-15.728</v>
      </c>
      <c r="I29" s="4">
        <v>267.16399999999999</v>
      </c>
      <c r="K29" s="3">
        <v>-5.7119999999999997</v>
      </c>
      <c r="L29" s="4">
        <v>258.238</v>
      </c>
      <c r="N29" s="3">
        <v>-201.15348151646245</v>
      </c>
      <c r="O29" s="4">
        <v>262.5</v>
      </c>
      <c r="Q29" s="3">
        <v>-165.49</v>
      </c>
      <c r="R29" s="4">
        <v>249.79900000000001</v>
      </c>
      <c r="T29" s="3">
        <v>-69.870999999999995</v>
      </c>
      <c r="U29" s="4">
        <v>244.25700000000001</v>
      </c>
      <c r="W29" s="3">
        <v>-157.92699999999999</v>
      </c>
      <c r="X29" s="4">
        <v>240.67400000000001</v>
      </c>
      <c r="Z29" s="3">
        <v>-25.998000000000001</v>
      </c>
      <c r="AA29" s="4">
        <v>237.489</v>
      </c>
    </row>
    <row r="30" spans="2:27" x14ac:dyDescent="0.35">
      <c r="B30" s="3">
        <v>-109.601</v>
      </c>
      <c r="C30" s="4">
        <v>291.04399999999998</v>
      </c>
      <c r="E30" s="3">
        <v>-46.195</v>
      </c>
      <c r="F30" s="4">
        <v>279.267</v>
      </c>
      <c r="H30" s="3">
        <v>-15.590999999999999</v>
      </c>
      <c r="I30" s="4">
        <v>267.00400000000002</v>
      </c>
      <c r="K30" s="3">
        <v>11.316000000000001</v>
      </c>
      <c r="L30" s="4">
        <v>257.97800000000001</v>
      </c>
      <c r="N30" s="3">
        <v>-194.35845208311923</v>
      </c>
      <c r="O30" s="4">
        <v>262</v>
      </c>
      <c r="Q30" s="3">
        <v>-157.85400000000001</v>
      </c>
      <c r="R30" s="4">
        <v>249.81</v>
      </c>
      <c r="T30" s="3">
        <v>-50.383000000000003</v>
      </c>
      <c r="U30" s="4">
        <v>244.36099999999999</v>
      </c>
      <c r="W30" s="3">
        <v>-156.11600000000001</v>
      </c>
      <c r="X30" s="4">
        <v>240.67599999999999</v>
      </c>
      <c r="Z30" s="3">
        <v>-21.172999999999998</v>
      </c>
      <c r="AA30" s="4">
        <v>237.44200000000001</v>
      </c>
    </row>
    <row r="31" spans="2:27" x14ac:dyDescent="0.35">
      <c r="B31" s="3">
        <v>-106.59099999999999</v>
      </c>
      <c r="C31" s="4">
        <v>291.01400000000001</v>
      </c>
      <c r="E31" s="3">
        <v>-45.878999999999998</v>
      </c>
      <c r="F31" s="4">
        <v>279.26400000000001</v>
      </c>
      <c r="H31" s="3">
        <v>-13.76</v>
      </c>
      <c r="I31" s="4">
        <v>267.07900000000001</v>
      </c>
      <c r="K31" s="3">
        <v>13.629</v>
      </c>
      <c r="L31" s="4">
        <v>257.959</v>
      </c>
      <c r="N31" s="3">
        <v>-186.81021824996324</v>
      </c>
      <c r="O31" s="4">
        <v>261.5</v>
      </c>
      <c r="Q31" s="3">
        <v>-156.91300000000001</v>
      </c>
      <c r="R31" s="4">
        <v>249.78200000000001</v>
      </c>
      <c r="T31" s="3">
        <v>-38.555999999999997</v>
      </c>
      <c r="U31" s="4">
        <v>244.23599999999999</v>
      </c>
      <c r="W31" s="3">
        <v>-150.905</v>
      </c>
      <c r="X31" s="4">
        <v>240.66900000000001</v>
      </c>
      <c r="Z31" s="3">
        <v>-18.542999999999999</v>
      </c>
      <c r="AA31" s="4">
        <v>237.47</v>
      </c>
    </row>
    <row r="32" spans="2:27" x14ac:dyDescent="0.35">
      <c r="B32" s="3">
        <v>-98.388000000000005</v>
      </c>
      <c r="C32" s="4">
        <v>290.649</v>
      </c>
      <c r="E32" s="3">
        <v>-39.052</v>
      </c>
      <c r="F32" s="4">
        <v>279.2</v>
      </c>
      <c r="H32" s="3">
        <v>-11.342000000000001</v>
      </c>
      <c r="I32" s="4">
        <v>267.19799999999998</v>
      </c>
      <c r="K32" s="3">
        <v>20.811</v>
      </c>
      <c r="L32" s="4">
        <v>257.935</v>
      </c>
      <c r="N32" s="3">
        <v>-179.11380187609154</v>
      </c>
      <c r="O32" s="4">
        <v>261</v>
      </c>
      <c r="Q32" s="3">
        <v>-155.749</v>
      </c>
      <c r="R32" s="4">
        <v>249.74799999999999</v>
      </c>
      <c r="T32" s="3">
        <v>-31.045000000000002</v>
      </c>
      <c r="U32" s="4">
        <v>244.18199999999999</v>
      </c>
      <c r="W32" s="3">
        <v>-143.114</v>
      </c>
      <c r="X32" s="4">
        <v>240.672</v>
      </c>
      <c r="Z32" s="3">
        <v>-5.92</v>
      </c>
      <c r="AA32" s="4">
        <v>237.22200000000001</v>
      </c>
    </row>
    <row r="33" spans="2:27" x14ac:dyDescent="0.35">
      <c r="B33" s="3">
        <v>-96.718999999999994</v>
      </c>
      <c r="C33" s="4">
        <v>290.572</v>
      </c>
      <c r="E33" s="3">
        <v>-38.140999999999998</v>
      </c>
      <c r="F33" s="4">
        <v>279.19499999999999</v>
      </c>
      <c r="H33" s="3">
        <v>-10.951000000000001</v>
      </c>
      <c r="I33" s="4">
        <v>267.21499999999997</v>
      </c>
      <c r="K33" s="3">
        <v>23.855</v>
      </c>
      <c r="L33" s="4">
        <v>257.92200000000003</v>
      </c>
      <c r="N33" s="3">
        <v>-172.37019030661344</v>
      </c>
      <c r="O33" s="4">
        <v>260.5</v>
      </c>
      <c r="Q33" s="3">
        <v>-121.574</v>
      </c>
      <c r="R33" s="4">
        <v>248.72900000000001</v>
      </c>
      <c r="T33" s="3">
        <v>-18.241</v>
      </c>
      <c r="U33" s="4">
        <v>243.73599999999999</v>
      </c>
      <c r="W33" s="3">
        <v>-142.274</v>
      </c>
      <c r="X33" s="4">
        <v>240.672</v>
      </c>
      <c r="Z33" s="3">
        <v>-4.6719999999999997</v>
      </c>
      <c r="AA33" s="4">
        <v>237.33500000000001</v>
      </c>
    </row>
    <row r="34" spans="2:27" x14ac:dyDescent="0.35">
      <c r="B34" s="3">
        <v>-88.954999999999998</v>
      </c>
      <c r="C34" s="4">
        <v>290.26499999999999</v>
      </c>
      <c r="E34" s="3">
        <v>-31.114999999999998</v>
      </c>
      <c r="F34" s="4">
        <v>279.11399999999998</v>
      </c>
      <c r="H34" s="3">
        <v>-7.7779999999999996</v>
      </c>
      <c r="I34" s="4">
        <v>267.31400000000002</v>
      </c>
      <c r="K34" s="3">
        <v>24.695</v>
      </c>
      <c r="L34" s="4">
        <v>257.92200000000003</v>
      </c>
      <c r="N34" s="3">
        <v>-166.21945823636364</v>
      </c>
      <c r="O34" s="4">
        <v>260</v>
      </c>
      <c r="Q34" s="3">
        <v>-117.971</v>
      </c>
      <c r="R34" s="4">
        <v>248.583</v>
      </c>
      <c r="T34" s="3">
        <v>-0.84799999999999998</v>
      </c>
      <c r="U34" s="4">
        <v>243.178</v>
      </c>
      <c r="W34" s="3">
        <v>-132.328</v>
      </c>
      <c r="X34" s="4">
        <v>240.77099999999999</v>
      </c>
      <c r="Z34" s="3">
        <v>-2.2970000000000002</v>
      </c>
      <c r="AA34" s="4">
        <v>237.161</v>
      </c>
    </row>
    <row r="35" spans="2:27" x14ac:dyDescent="0.35">
      <c r="B35" s="3">
        <v>-87.381</v>
      </c>
      <c r="C35" s="4">
        <v>290.20299999999997</v>
      </c>
      <c r="E35" s="3">
        <v>-30.222000000000001</v>
      </c>
      <c r="F35" s="4">
        <v>279.12900000000002</v>
      </c>
      <c r="H35" s="3">
        <v>-5.33</v>
      </c>
      <c r="I35" s="4">
        <v>267.387</v>
      </c>
      <c r="K35" s="3">
        <v>24.73</v>
      </c>
      <c r="L35" s="4">
        <v>257.935</v>
      </c>
      <c r="N35" s="3">
        <v>-159.7293382836971</v>
      </c>
      <c r="O35" s="4">
        <v>259.5</v>
      </c>
      <c r="Q35" s="3">
        <v>-113.155</v>
      </c>
      <c r="R35" s="4">
        <v>248.41</v>
      </c>
      <c r="T35" s="3">
        <v>0.91700000000000004</v>
      </c>
      <c r="U35" s="4">
        <v>243.14099999999999</v>
      </c>
      <c r="W35" s="3">
        <v>-95.867000000000004</v>
      </c>
      <c r="X35" s="4">
        <v>239.44300000000001</v>
      </c>
      <c r="Z35" s="3">
        <v>-0.14000000000000001</v>
      </c>
      <c r="AA35" s="4">
        <v>237.185</v>
      </c>
    </row>
    <row r="36" spans="2:27" x14ac:dyDescent="0.35">
      <c r="B36" s="3">
        <v>-77.344999999999999</v>
      </c>
      <c r="C36" s="4">
        <v>289.90800000000002</v>
      </c>
      <c r="E36" s="3">
        <v>-28.311</v>
      </c>
      <c r="F36" s="4">
        <v>279.08199999999999</v>
      </c>
      <c r="H36" s="3">
        <v>-4.96</v>
      </c>
      <c r="I36" s="4">
        <v>267.399</v>
      </c>
      <c r="K36" s="3">
        <v>25.181000000000001</v>
      </c>
      <c r="L36" s="4">
        <v>258.28800000000001</v>
      </c>
      <c r="N36" s="3">
        <v>-153.08181656504124</v>
      </c>
      <c r="O36" s="4">
        <v>259</v>
      </c>
      <c r="Q36" s="3">
        <v>-107.39700000000001</v>
      </c>
      <c r="R36" s="4">
        <v>248.32</v>
      </c>
      <c r="T36" s="3">
        <v>4.6619999999999999</v>
      </c>
      <c r="U36" s="4">
        <v>242.91300000000001</v>
      </c>
      <c r="W36" s="3">
        <v>-91.92</v>
      </c>
      <c r="X36" s="4">
        <v>239.40700000000001</v>
      </c>
      <c r="Z36" s="3">
        <v>11.757</v>
      </c>
      <c r="AA36" s="4">
        <v>237.13300000000001</v>
      </c>
    </row>
    <row r="37" spans="2:27" x14ac:dyDescent="0.35">
      <c r="B37" s="3">
        <v>-74.441000000000003</v>
      </c>
      <c r="C37" s="4">
        <v>289.892</v>
      </c>
      <c r="E37" s="3">
        <v>-23.67</v>
      </c>
      <c r="F37" s="4">
        <v>279.04199999999997</v>
      </c>
      <c r="H37" s="3">
        <v>-4.8250000000000002</v>
      </c>
      <c r="I37" s="4">
        <v>267.39800000000002</v>
      </c>
      <c r="K37" s="3">
        <v>26.931999999999999</v>
      </c>
      <c r="L37" s="4">
        <v>259.64699999999999</v>
      </c>
      <c r="N37" s="3">
        <v>-145.98090324350304</v>
      </c>
      <c r="O37" s="4">
        <v>258.5</v>
      </c>
      <c r="Q37" s="3">
        <v>-103.774</v>
      </c>
      <c r="R37" s="4">
        <v>248.227</v>
      </c>
      <c r="T37" s="3">
        <v>6.8760000000000003</v>
      </c>
      <c r="U37" s="4">
        <v>242.898</v>
      </c>
      <c r="W37" s="3">
        <v>-75.945999999999998</v>
      </c>
      <c r="X37" s="4">
        <v>239.62899999999999</v>
      </c>
      <c r="Z37" s="3">
        <v>15.964</v>
      </c>
      <c r="AA37" s="4">
        <v>236.185</v>
      </c>
    </row>
    <row r="38" spans="2:27" x14ac:dyDescent="0.35">
      <c r="B38" s="3">
        <v>-66.838999999999999</v>
      </c>
      <c r="C38" s="4">
        <v>289.77</v>
      </c>
      <c r="E38" s="3">
        <v>-22.738</v>
      </c>
      <c r="F38" s="4">
        <v>279.04399999999998</v>
      </c>
      <c r="H38" s="3">
        <v>-1.698</v>
      </c>
      <c r="I38" s="4">
        <v>267.39699999999999</v>
      </c>
      <c r="K38" s="3">
        <v>30.856999999999999</v>
      </c>
      <c r="L38" s="4">
        <v>259.96699999999998</v>
      </c>
      <c r="N38" s="3">
        <v>-139.55216993125549</v>
      </c>
      <c r="O38" s="4">
        <v>258</v>
      </c>
      <c r="Q38" s="3">
        <v>-97.007000000000005</v>
      </c>
      <c r="R38" s="4">
        <v>248.39</v>
      </c>
      <c r="T38" s="3">
        <v>9.9949999999999992</v>
      </c>
      <c r="U38" s="4">
        <v>243.02699999999999</v>
      </c>
      <c r="W38" s="3">
        <v>-70.313000000000002</v>
      </c>
      <c r="X38" s="4">
        <v>239.68299999999999</v>
      </c>
      <c r="Z38" s="3">
        <v>17.635000000000002</v>
      </c>
      <c r="AA38" s="4">
        <v>236</v>
      </c>
    </row>
    <row r="39" spans="2:27" x14ac:dyDescent="0.35">
      <c r="B39" s="3">
        <v>-62.531999999999996</v>
      </c>
      <c r="C39" s="4">
        <v>289.70100000000002</v>
      </c>
      <c r="E39" s="3">
        <v>-18.725999999999999</v>
      </c>
      <c r="F39" s="4">
        <v>279.00799999999998</v>
      </c>
      <c r="H39" s="3">
        <v>-0.95899999999999996</v>
      </c>
      <c r="I39" s="4">
        <v>267.41500000000002</v>
      </c>
      <c r="K39" s="3">
        <v>42.908000000000001</v>
      </c>
      <c r="L39" s="4">
        <v>261.01299999999998</v>
      </c>
      <c r="N39" s="3">
        <v>-132.81875200274405</v>
      </c>
      <c r="O39" s="4">
        <v>257.5</v>
      </c>
      <c r="Q39" s="3">
        <v>-95.784000000000006</v>
      </c>
      <c r="R39" s="4">
        <v>248.42400000000001</v>
      </c>
      <c r="T39" s="3">
        <v>13.522</v>
      </c>
      <c r="U39" s="4">
        <v>242.83199999999999</v>
      </c>
      <c r="W39" s="3">
        <v>-59.808</v>
      </c>
      <c r="X39" s="4">
        <v>239.62899999999999</v>
      </c>
      <c r="Z39" s="3">
        <v>17.736000000000001</v>
      </c>
      <c r="AA39" s="4">
        <v>236</v>
      </c>
    </row>
    <row r="40" spans="2:27" x14ac:dyDescent="0.35">
      <c r="B40" s="3">
        <v>-57.600999999999999</v>
      </c>
      <c r="C40" s="4">
        <v>289.654</v>
      </c>
      <c r="E40" s="3">
        <v>-13.916</v>
      </c>
      <c r="F40" s="4">
        <v>279.01</v>
      </c>
      <c r="H40" s="3">
        <v>8.2539999999999996</v>
      </c>
      <c r="I40" s="4">
        <v>267.56599999999997</v>
      </c>
      <c r="K40" s="3">
        <v>48.125</v>
      </c>
      <c r="L40" s="4">
        <v>261.125</v>
      </c>
      <c r="N40" s="3">
        <v>-125.79474061323161</v>
      </c>
      <c r="O40" s="4">
        <v>257</v>
      </c>
      <c r="Q40" s="3">
        <v>-94.813000000000002</v>
      </c>
      <c r="R40" s="4">
        <v>248.43700000000001</v>
      </c>
      <c r="T40" s="3">
        <v>15.877000000000001</v>
      </c>
      <c r="U40" s="4">
        <v>243.22300000000001</v>
      </c>
      <c r="W40" s="3">
        <v>-46.844000000000001</v>
      </c>
      <c r="X40" s="4">
        <v>239.63499999999999</v>
      </c>
      <c r="Z40" s="3">
        <v>18.09</v>
      </c>
      <c r="AA40" s="4">
        <v>236</v>
      </c>
    </row>
    <row r="41" spans="2:27" x14ac:dyDescent="0.35">
      <c r="B41" s="3">
        <v>-50.497999999999998</v>
      </c>
      <c r="C41" s="4">
        <v>289.47000000000003</v>
      </c>
      <c r="E41" s="3">
        <v>-10.750999999999999</v>
      </c>
      <c r="F41" s="4">
        <v>278.99599999999998</v>
      </c>
      <c r="H41" s="3">
        <v>14.451000000000001</v>
      </c>
      <c r="I41" s="4">
        <v>269.06900000000002</v>
      </c>
      <c r="K41" s="3">
        <v>53.140999999999998</v>
      </c>
      <c r="L41" s="4">
        <v>261.11</v>
      </c>
      <c r="N41" s="3">
        <v>-121.47301584180069</v>
      </c>
      <c r="O41" s="4">
        <v>256.5</v>
      </c>
      <c r="Q41" s="3">
        <v>-87.227000000000004</v>
      </c>
      <c r="R41" s="4">
        <v>248.50200000000001</v>
      </c>
      <c r="T41" s="3">
        <v>22.899000000000001</v>
      </c>
      <c r="U41" s="4">
        <v>245.44</v>
      </c>
      <c r="W41" s="3">
        <v>-43.359000000000002</v>
      </c>
      <c r="X41" s="4">
        <v>239.636</v>
      </c>
      <c r="Z41" s="3">
        <v>18.449000000000002</v>
      </c>
      <c r="AA41" s="4">
        <v>236</v>
      </c>
    </row>
    <row r="42" spans="2:27" x14ac:dyDescent="0.35">
      <c r="B42" s="3">
        <v>-47.762999999999998</v>
      </c>
      <c r="C42" s="4">
        <v>289.41199999999998</v>
      </c>
      <c r="E42" s="3">
        <v>-8.5500000000000007</v>
      </c>
      <c r="F42" s="4">
        <v>277.30500000000001</v>
      </c>
      <c r="H42" s="3">
        <v>15.414999999999999</v>
      </c>
      <c r="I42" s="4">
        <v>269.25299999999999</v>
      </c>
      <c r="K42" s="3">
        <v>71.944999999999993</v>
      </c>
      <c r="L42" s="4">
        <v>260.81900000000002</v>
      </c>
      <c r="N42" s="3">
        <v>-117.15129107036967</v>
      </c>
      <c r="O42" s="4">
        <v>256</v>
      </c>
      <c r="Q42" s="3">
        <v>-86.465999999999994</v>
      </c>
      <c r="R42" s="4">
        <v>248.51499999999999</v>
      </c>
      <c r="T42" s="3">
        <v>32.886000000000003</v>
      </c>
      <c r="U42" s="4">
        <v>245.595</v>
      </c>
      <c r="W42" s="3">
        <v>-40.387999999999998</v>
      </c>
      <c r="X42" s="4">
        <v>239.679</v>
      </c>
      <c r="Z42" s="3">
        <v>20.084</v>
      </c>
      <c r="AA42" s="4">
        <v>236</v>
      </c>
    </row>
    <row r="43" spans="2:27" x14ac:dyDescent="0.35">
      <c r="B43" s="3">
        <v>-39.854999999999997</v>
      </c>
      <c r="C43" s="4">
        <v>289.25900000000001</v>
      </c>
      <c r="E43" s="3">
        <v>-7.3819999999999997</v>
      </c>
      <c r="F43" s="4">
        <v>276.59300000000002</v>
      </c>
      <c r="H43" s="3">
        <v>15.772</v>
      </c>
      <c r="I43" s="4">
        <v>269.24799999999999</v>
      </c>
      <c r="K43" s="3">
        <v>72.022000000000006</v>
      </c>
      <c r="L43" s="4">
        <v>260.81799999999998</v>
      </c>
      <c r="N43" s="3">
        <v>-112.94769249296013</v>
      </c>
      <c r="O43" s="4">
        <v>255.5</v>
      </c>
      <c r="Q43" s="3">
        <v>-79.628</v>
      </c>
      <c r="R43" s="4">
        <v>248.584</v>
      </c>
      <c r="T43" s="3">
        <v>33.475999999999999</v>
      </c>
      <c r="U43" s="4">
        <v>245.61799999999999</v>
      </c>
      <c r="W43" s="3">
        <v>-31.312999999999999</v>
      </c>
      <c r="X43" s="4">
        <v>239.839</v>
      </c>
      <c r="Z43" s="3">
        <v>23.664000000000001</v>
      </c>
      <c r="AA43" s="4">
        <v>236</v>
      </c>
    </row>
    <row r="44" spans="2:27" x14ac:dyDescent="0.35">
      <c r="B44" s="3">
        <v>-36.624000000000002</v>
      </c>
      <c r="C44" s="4">
        <v>289.21600000000001</v>
      </c>
      <c r="E44" s="3">
        <v>-5.4560000000000004</v>
      </c>
      <c r="F44" s="4">
        <v>276.62799999999999</v>
      </c>
      <c r="H44" s="3">
        <v>19.370999999999999</v>
      </c>
      <c r="I44" s="4">
        <v>269.11200000000002</v>
      </c>
      <c r="K44" s="3">
        <v>72.332999999999998</v>
      </c>
      <c r="L44" s="4">
        <v>260.81400000000002</v>
      </c>
      <c r="N44" s="3">
        <v>-106.27348744666433</v>
      </c>
      <c r="O44" s="4">
        <v>255</v>
      </c>
      <c r="Q44" s="3">
        <v>-77.046999999999997</v>
      </c>
      <c r="R44" s="4">
        <v>248.61600000000001</v>
      </c>
      <c r="T44" s="3">
        <v>45.015000000000001</v>
      </c>
      <c r="U44" s="4">
        <v>246.136</v>
      </c>
      <c r="W44" s="3">
        <v>-20.175000000000001</v>
      </c>
      <c r="X44" s="4">
        <v>239.989</v>
      </c>
      <c r="Z44" s="3">
        <v>24.097000000000001</v>
      </c>
      <c r="AA44" s="4">
        <v>236</v>
      </c>
    </row>
    <row r="45" spans="2:27" x14ac:dyDescent="0.35">
      <c r="B45" s="3">
        <v>-29.98</v>
      </c>
      <c r="C45" s="4">
        <v>289.04399999999998</v>
      </c>
      <c r="E45" s="3">
        <v>-0.76100000000000001</v>
      </c>
      <c r="F45" s="4">
        <v>276.68599999999998</v>
      </c>
      <c r="H45" s="3">
        <v>24.326000000000001</v>
      </c>
      <c r="I45" s="4">
        <v>269.202</v>
      </c>
      <c r="K45" s="3">
        <v>92.021000000000001</v>
      </c>
      <c r="L45" s="4">
        <v>260.60199999999998</v>
      </c>
      <c r="N45" s="3">
        <v>-99.582043282659171</v>
      </c>
      <c r="O45" s="4">
        <v>254.5</v>
      </c>
      <c r="Q45" s="3">
        <v>-71.257000000000005</v>
      </c>
      <c r="R45" s="4">
        <v>248.66200000000001</v>
      </c>
      <c r="T45" s="3">
        <v>48.768999999999998</v>
      </c>
      <c r="U45" s="4">
        <v>246.316</v>
      </c>
      <c r="W45" s="3">
        <v>-18.917000000000002</v>
      </c>
      <c r="X45" s="4">
        <v>239.727</v>
      </c>
      <c r="Z45" s="3">
        <v>25.364999999999998</v>
      </c>
      <c r="AA45" s="4">
        <v>236</v>
      </c>
    </row>
    <row r="46" spans="2:27" x14ac:dyDescent="0.35">
      <c r="B46" s="3">
        <v>-29.085999999999999</v>
      </c>
      <c r="C46" s="4">
        <v>289.02699999999999</v>
      </c>
      <c r="E46" s="3">
        <v>2.512</v>
      </c>
      <c r="F46" s="4">
        <v>276.339</v>
      </c>
      <c r="H46" s="3">
        <v>33.448</v>
      </c>
      <c r="I46" s="4">
        <v>269.40699999999998</v>
      </c>
      <c r="K46" s="3">
        <v>96.998000000000005</v>
      </c>
      <c r="L46" s="4">
        <v>260.61500000000001</v>
      </c>
      <c r="N46" s="3">
        <v>-86.553308693298618</v>
      </c>
      <c r="O46" s="4">
        <v>254</v>
      </c>
      <c r="Q46" s="3">
        <v>-64.822999999999993</v>
      </c>
      <c r="R46" s="4">
        <v>248.80099999999999</v>
      </c>
      <c r="T46" s="3">
        <v>54.113</v>
      </c>
      <c r="U46" s="4">
        <v>246.64400000000001</v>
      </c>
      <c r="W46" s="3">
        <v>-16.297999999999998</v>
      </c>
      <c r="X46" s="4">
        <v>239.137</v>
      </c>
      <c r="Z46" s="3">
        <v>26.937000000000001</v>
      </c>
      <c r="AA46" s="4">
        <v>236</v>
      </c>
    </row>
    <row r="47" spans="2:27" x14ac:dyDescent="0.35">
      <c r="B47" s="3">
        <v>-28.353000000000002</v>
      </c>
      <c r="C47" s="4">
        <v>289.01799999999997</v>
      </c>
      <c r="E47" s="3">
        <v>4.8470000000000004</v>
      </c>
      <c r="F47" s="4">
        <v>276.02999999999997</v>
      </c>
      <c r="H47" s="3">
        <v>40.582000000000001</v>
      </c>
      <c r="I47" s="4">
        <v>269.69</v>
      </c>
      <c r="K47" s="3">
        <v>111.58199999999999</v>
      </c>
      <c r="L47" s="4">
        <v>260.68299999999999</v>
      </c>
      <c r="N47" s="3">
        <v>-67.195303630792779</v>
      </c>
      <c r="O47" s="4">
        <v>253.5</v>
      </c>
      <c r="Q47" s="3">
        <v>-63.503999999999998</v>
      </c>
      <c r="R47" s="4">
        <v>248.82599999999999</v>
      </c>
      <c r="T47" s="3">
        <v>62.731999999999999</v>
      </c>
      <c r="U47" s="4">
        <v>248.315</v>
      </c>
      <c r="W47" s="3">
        <v>-15.134</v>
      </c>
      <c r="X47" s="4">
        <v>238.87899999999999</v>
      </c>
      <c r="Z47" s="3">
        <v>26.954000000000001</v>
      </c>
      <c r="AA47" s="4">
        <v>236</v>
      </c>
    </row>
    <row r="48" spans="2:27" x14ac:dyDescent="0.35">
      <c r="B48" s="3">
        <v>-21.016999999999999</v>
      </c>
      <c r="C48" s="4">
        <v>288.94600000000003</v>
      </c>
      <c r="E48" s="3">
        <v>7.2910000000000004</v>
      </c>
      <c r="F48" s="4">
        <v>276.05900000000003</v>
      </c>
      <c r="H48" s="3">
        <v>47.127000000000002</v>
      </c>
      <c r="I48" s="4">
        <v>269.91699999999997</v>
      </c>
      <c r="K48" s="3">
        <v>122.286</v>
      </c>
      <c r="L48" s="4">
        <v>260.69099999999997</v>
      </c>
      <c r="N48" s="3">
        <v>-64.965296904345479</v>
      </c>
      <c r="O48" s="4">
        <v>253</v>
      </c>
      <c r="Q48" s="3">
        <v>-57.295000000000002</v>
      </c>
      <c r="R48" s="4">
        <v>249.11500000000001</v>
      </c>
      <c r="T48" s="3">
        <v>69.06</v>
      </c>
      <c r="U48" s="4">
        <v>249.25399999999999</v>
      </c>
      <c r="W48" s="3">
        <v>-14.659000000000001</v>
      </c>
      <c r="X48" s="4">
        <v>238.86099999999999</v>
      </c>
      <c r="Z48" s="3">
        <v>27.143999999999998</v>
      </c>
      <c r="AA48" s="4">
        <v>236</v>
      </c>
    </row>
    <row r="49" spans="2:27" x14ac:dyDescent="0.35">
      <c r="B49" s="3">
        <v>-13.364000000000001</v>
      </c>
      <c r="C49" s="4">
        <v>289.07600000000002</v>
      </c>
      <c r="E49" s="3">
        <v>9.7970000000000006</v>
      </c>
      <c r="F49" s="4">
        <v>275.96699999999998</v>
      </c>
      <c r="H49" s="3">
        <v>60.529000000000003</v>
      </c>
      <c r="I49" s="4">
        <v>270.33</v>
      </c>
      <c r="K49" s="3">
        <v>130.38499999999999</v>
      </c>
      <c r="L49" s="4">
        <v>260.71300000000002</v>
      </c>
      <c r="N49" s="3">
        <v>-62.817063909533175</v>
      </c>
      <c r="O49" s="4">
        <v>252.5</v>
      </c>
      <c r="Q49" s="3">
        <v>-55.201000000000001</v>
      </c>
      <c r="R49" s="4">
        <v>249.11699999999999</v>
      </c>
      <c r="T49" s="3">
        <v>69.742999999999995</v>
      </c>
      <c r="U49" s="4">
        <v>249.256</v>
      </c>
      <c r="W49" s="3">
        <v>-13.416</v>
      </c>
      <c r="X49" s="4">
        <v>238.81700000000001</v>
      </c>
      <c r="Z49" s="3">
        <v>36.012</v>
      </c>
      <c r="AA49" s="4">
        <v>237.52500000000001</v>
      </c>
    </row>
    <row r="50" spans="2:27" x14ac:dyDescent="0.35">
      <c r="B50" s="3">
        <v>-12.717000000000001</v>
      </c>
      <c r="C50" s="4">
        <v>289.07600000000002</v>
      </c>
      <c r="E50" s="3">
        <v>10.263999999999999</v>
      </c>
      <c r="F50" s="4">
        <v>277.18900000000002</v>
      </c>
      <c r="H50" s="3">
        <v>60.628</v>
      </c>
      <c r="I50" s="4">
        <v>270.334</v>
      </c>
      <c r="K50" s="3">
        <v>148.05699999999999</v>
      </c>
      <c r="L50" s="4">
        <v>261.00400000000002</v>
      </c>
      <c r="N50" s="3">
        <v>-59.66843119039936</v>
      </c>
      <c r="O50" s="4">
        <v>252.5</v>
      </c>
      <c r="Q50" s="3">
        <v>-50.706000000000003</v>
      </c>
      <c r="R50" s="4">
        <v>248.887</v>
      </c>
      <c r="T50" s="3">
        <v>89.078999999999994</v>
      </c>
      <c r="U50" s="4">
        <v>250.465</v>
      </c>
      <c r="W50" s="3">
        <v>-8.6329999999999991</v>
      </c>
      <c r="X50" s="4">
        <v>238.77799999999999</v>
      </c>
      <c r="Z50" s="3">
        <v>40.68</v>
      </c>
      <c r="AA50" s="4">
        <v>237.95</v>
      </c>
    </row>
    <row r="51" spans="2:27" x14ac:dyDescent="0.35">
      <c r="B51" s="3">
        <v>-12.443</v>
      </c>
      <c r="C51" s="4">
        <v>289.07100000000003</v>
      </c>
      <c r="E51" s="3">
        <v>11.047000000000001</v>
      </c>
      <c r="F51" s="4">
        <v>278.76299999999998</v>
      </c>
      <c r="H51" s="3">
        <v>60.73</v>
      </c>
      <c r="I51" s="4">
        <v>270.34800000000001</v>
      </c>
      <c r="K51" s="3">
        <v>149.72900000000001</v>
      </c>
      <c r="L51" s="4">
        <v>261.05599999999998</v>
      </c>
      <c r="N51" s="3">
        <v>-30.998919004106494</v>
      </c>
      <c r="O51" s="4">
        <v>253</v>
      </c>
      <c r="Q51" s="3">
        <v>-47.344000000000001</v>
      </c>
      <c r="R51" s="4">
        <v>248.61600000000001</v>
      </c>
      <c r="T51" s="3">
        <v>95.394000000000005</v>
      </c>
      <c r="U51" s="4">
        <v>250.82599999999999</v>
      </c>
      <c r="W51" s="3">
        <v>-1.712</v>
      </c>
      <c r="X51" s="4">
        <v>238.97300000000001</v>
      </c>
      <c r="Z51" s="3">
        <v>44.451000000000001</v>
      </c>
      <c r="AA51" s="4">
        <v>238.21899999999999</v>
      </c>
    </row>
    <row r="52" spans="2:27" x14ac:dyDescent="0.35">
      <c r="B52" s="3">
        <v>-7.4</v>
      </c>
      <c r="C52" s="4">
        <v>288.88900000000001</v>
      </c>
      <c r="E52" s="3">
        <v>12.034000000000001</v>
      </c>
      <c r="F52" s="4">
        <v>278.76400000000001</v>
      </c>
      <c r="H52" s="3">
        <v>74.465000000000003</v>
      </c>
      <c r="I52" s="4">
        <v>271.666</v>
      </c>
      <c r="K52" s="3">
        <v>152.85300000000001</v>
      </c>
      <c r="L52" s="4">
        <v>261.17899999999997</v>
      </c>
      <c r="N52" s="3">
        <v>-5.9345792362211185</v>
      </c>
      <c r="O52" s="4">
        <v>253</v>
      </c>
      <c r="Q52" s="3">
        <v>-45.579000000000001</v>
      </c>
      <c r="R52" s="4">
        <v>248.59200000000001</v>
      </c>
      <c r="T52" s="3">
        <v>97.983000000000004</v>
      </c>
      <c r="U52" s="4">
        <v>250.77600000000001</v>
      </c>
      <c r="W52" s="3">
        <v>5.306</v>
      </c>
      <c r="X52" s="4">
        <v>239.125</v>
      </c>
      <c r="Z52" s="3">
        <v>47.784999999999997</v>
      </c>
      <c r="AA52" s="4">
        <v>238.60499999999999</v>
      </c>
    </row>
    <row r="53" spans="2:27" x14ac:dyDescent="0.35">
      <c r="B53" s="3">
        <v>-7.1189999999999998</v>
      </c>
      <c r="C53" s="4">
        <v>287.86900000000003</v>
      </c>
      <c r="E53" s="3">
        <v>15.432</v>
      </c>
      <c r="F53" s="4">
        <v>278.55200000000002</v>
      </c>
      <c r="H53" s="3">
        <v>82.445999999999998</v>
      </c>
      <c r="I53" s="4">
        <v>272.96300000000002</v>
      </c>
      <c r="K53" s="3">
        <v>169.34700000000001</v>
      </c>
      <c r="L53" s="4">
        <v>261.81</v>
      </c>
      <c r="N53" s="3">
        <v>18.930385030795318</v>
      </c>
      <c r="O53" s="4">
        <v>252.5</v>
      </c>
      <c r="Q53" s="3">
        <v>-39.326999999999998</v>
      </c>
      <c r="R53" s="4">
        <v>248.50399999999999</v>
      </c>
      <c r="T53" s="3">
        <v>100.414</v>
      </c>
      <c r="U53" s="4">
        <v>251.346</v>
      </c>
      <c r="W53" s="3">
        <v>8.2690000000000001</v>
      </c>
      <c r="X53" s="4">
        <v>238.93700000000001</v>
      </c>
      <c r="Z53" s="3">
        <v>57.345999999999997</v>
      </c>
      <c r="AA53" s="4">
        <v>239.92400000000001</v>
      </c>
    </row>
    <row r="54" spans="2:27" x14ac:dyDescent="0.35">
      <c r="B54" s="3">
        <v>-6.806</v>
      </c>
      <c r="C54" s="4">
        <v>286.19099999999997</v>
      </c>
      <c r="E54" s="3">
        <v>19.262</v>
      </c>
      <c r="F54" s="4">
        <v>278.28800000000001</v>
      </c>
      <c r="H54" s="3">
        <v>85.906999999999996</v>
      </c>
      <c r="I54" s="4">
        <v>273.50299999999999</v>
      </c>
      <c r="K54" s="3">
        <v>173.51599999999999</v>
      </c>
      <c r="L54" s="4">
        <v>261.94600000000003</v>
      </c>
      <c r="N54" s="3">
        <v>22.202240773336392</v>
      </c>
      <c r="O54" s="4">
        <v>252</v>
      </c>
      <c r="Q54" s="3">
        <v>-28.574999999999999</v>
      </c>
      <c r="R54" s="4">
        <v>248.80799999999999</v>
      </c>
      <c r="T54" s="3">
        <v>102.52800000000001</v>
      </c>
      <c r="U54" s="4">
        <v>251.76300000000001</v>
      </c>
      <c r="W54" s="3">
        <v>11.59</v>
      </c>
      <c r="X54" s="4">
        <v>238.84</v>
      </c>
      <c r="Z54" s="3">
        <v>59.027999999999999</v>
      </c>
      <c r="AA54" s="4">
        <v>239.98</v>
      </c>
    </row>
    <row r="55" spans="2:27" ht="15" thickBot="1" x14ac:dyDescent="0.4">
      <c r="B55" s="3">
        <v>-5.1859999999999999</v>
      </c>
      <c r="C55" s="4">
        <v>286.37799999999999</v>
      </c>
      <c r="E55" s="3">
        <v>26.523</v>
      </c>
      <c r="F55" s="4">
        <v>278.60700000000003</v>
      </c>
      <c r="H55" s="3">
        <v>89.135999999999996</v>
      </c>
      <c r="I55" s="4">
        <v>274.01799999999997</v>
      </c>
      <c r="K55" s="3">
        <v>189.43100000000001</v>
      </c>
      <c r="L55" s="4">
        <v>262.09399999999999</v>
      </c>
      <c r="N55" s="3">
        <v>27.185951940729637</v>
      </c>
      <c r="O55" s="4">
        <v>251.5</v>
      </c>
      <c r="Q55" s="3">
        <v>-25.972999999999999</v>
      </c>
      <c r="R55" s="4">
        <v>248.875</v>
      </c>
      <c r="T55" s="5">
        <v>117.837</v>
      </c>
      <c r="U55" s="6">
        <v>254.24600000000001</v>
      </c>
      <c r="W55" s="3">
        <v>13.324</v>
      </c>
      <c r="X55" s="4">
        <v>238.67699999999999</v>
      </c>
      <c r="Z55" s="3">
        <v>66.093000000000004</v>
      </c>
      <c r="AA55" s="4">
        <v>239.71600000000001</v>
      </c>
    </row>
    <row r="56" spans="2:27" ht="15" thickBot="1" x14ac:dyDescent="0.4">
      <c r="B56" s="3">
        <v>-2.8759999999999999</v>
      </c>
      <c r="C56" s="4">
        <v>286.53100000000001</v>
      </c>
      <c r="E56" s="3">
        <v>37.183</v>
      </c>
      <c r="F56" s="4">
        <v>278.90899999999999</v>
      </c>
      <c r="H56" s="3">
        <v>89.552999999999997</v>
      </c>
      <c r="I56" s="4">
        <v>274.02600000000001</v>
      </c>
      <c r="K56" s="3">
        <v>194.70400000000001</v>
      </c>
      <c r="L56" s="4">
        <v>262.12799999999999</v>
      </c>
      <c r="N56" s="3">
        <v>27.533809670268536</v>
      </c>
      <c r="O56" s="4">
        <v>251.5</v>
      </c>
      <c r="Q56" s="3">
        <v>-23.931000000000001</v>
      </c>
      <c r="R56" s="4">
        <v>249.06100000000001</v>
      </c>
      <c r="W56" s="3">
        <v>15.115</v>
      </c>
      <c r="X56" s="4">
        <v>238.48599999999999</v>
      </c>
      <c r="Z56" s="5">
        <v>67.307000000000002</v>
      </c>
      <c r="AA56" s="6">
        <v>239.84200000000001</v>
      </c>
    </row>
    <row r="57" spans="2:27" x14ac:dyDescent="0.35">
      <c r="B57" s="3">
        <v>0.192</v>
      </c>
      <c r="C57" s="4">
        <v>286.70299999999997</v>
      </c>
      <c r="E57" s="3">
        <v>49.034999999999997</v>
      </c>
      <c r="F57" s="4">
        <v>279.13</v>
      </c>
      <c r="H57" s="3">
        <v>89.853999999999999</v>
      </c>
      <c r="I57" s="4">
        <v>274.03300000000002</v>
      </c>
      <c r="K57" s="3">
        <v>201.72</v>
      </c>
      <c r="L57" s="4">
        <v>263.20100000000002</v>
      </c>
      <c r="N57" s="3">
        <v>34.714772976121054</v>
      </c>
      <c r="O57" s="4">
        <v>251.5</v>
      </c>
      <c r="Q57" s="3">
        <v>-23.917000000000002</v>
      </c>
      <c r="R57" s="4">
        <v>249.06200000000001</v>
      </c>
      <c r="W57" s="3">
        <v>16.343</v>
      </c>
      <c r="X57" s="4">
        <v>238.57300000000001</v>
      </c>
    </row>
    <row r="58" spans="2:27" x14ac:dyDescent="0.35">
      <c r="B58" s="3">
        <v>2.6659999999999999</v>
      </c>
      <c r="C58" s="4">
        <v>286.839</v>
      </c>
      <c r="E58" s="3">
        <v>52.290999999999997</v>
      </c>
      <c r="F58" s="4">
        <v>279.07</v>
      </c>
      <c r="H58" s="3">
        <v>93.096000000000004</v>
      </c>
      <c r="I58" s="4">
        <v>273.83600000000001</v>
      </c>
      <c r="K58" s="3">
        <v>205.19800000000001</v>
      </c>
      <c r="L58" s="4">
        <v>263.86200000000002</v>
      </c>
      <c r="N58" s="3">
        <v>34.774438711681782</v>
      </c>
      <c r="O58" s="4">
        <v>251.5</v>
      </c>
      <c r="Q58" s="3">
        <v>-21.57</v>
      </c>
      <c r="R58" s="4">
        <v>249.06399999999999</v>
      </c>
      <c r="W58" s="3">
        <v>18.425000000000001</v>
      </c>
      <c r="X58" s="4">
        <v>238.739</v>
      </c>
    </row>
    <row r="59" spans="2:27" ht="15" thickBot="1" x14ac:dyDescent="0.4">
      <c r="B59" s="3">
        <v>6.6669999999999998</v>
      </c>
      <c r="C59" s="4">
        <v>287.01499999999999</v>
      </c>
      <c r="E59" s="3">
        <v>57.98</v>
      </c>
      <c r="F59" s="4">
        <v>279.29899999999998</v>
      </c>
      <c r="H59" s="5">
        <v>94.358999999999995</v>
      </c>
      <c r="I59" s="6">
        <v>273.77300000000002</v>
      </c>
      <c r="K59" s="3">
        <v>211.09200000000001</v>
      </c>
      <c r="L59" s="4">
        <v>264.58699999999999</v>
      </c>
      <c r="N59" s="3">
        <v>35.434251563936172</v>
      </c>
      <c r="O59" s="4">
        <v>252</v>
      </c>
      <c r="Q59" s="3">
        <v>-16.103999999999999</v>
      </c>
      <c r="R59" s="4">
        <v>249.63200000000001</v>
      </c>
      <c r="W59" s="3">
        <v>19.989000000000001</v>
      </c>
      <c r="X59" s="4">
        <v>239.10400000000001</v>
      </c>
    </row>
    <row r="60" spans="2:27" x14ac:dyDescent="0.35">
      <c r="B60" s="3">
        <v>10.084</v>
      </c>
      <c r="C60" s="4">
        <v>287.45499999999998</v>
      </c>
      <c r="E60" s="3">
        <v>63.417999999999999</v>
      </c>
      <c r="F60" s="4">
        <v>279.57100000000003</v>
      </c>
      <c r="K60" s="3">
        <v>217.27799999999999</v>
      </c>
      <c r="L60" s="4">
        <v>265.10199999999998</v>
      </c>
      <c r="N60" s="3">
        <v>36.095263666699786</v>
      </c>
      <c r="O60" s="4">
        <v>252.5</v>
      </c>
      <c r="Q60" s="3">
        <v>-15.75</v>
      </c>
      <c r="R60" s="4">
        <v>249.58799999999999</v>
      </c>
      <c r="W60" s="3">
        <v>20.567</v>
      </c>
      <c r="X60" s="4">
        <v>239.26300000000001</v>
      </c>
    </row>
    <row r="61" spans="2:27" ht="15" thickBot="1" x14ac:dyDescent="0.4">
      <c r="B61" s="3">
        <v>10.375999999999999</v>
      </c>
      <c r="C61" s="4">
        <v>287.42700000000002</v>
      </c>
      <c r="E61" s="3">
        <v>64.590999999999994</v>
      </c>
      <c r="F61" s="4">
        <v>279.63200000000001</v>
      </c>
      <c r="K61" s="5">
        <v>220.74600000000001</v>
      </c>
      <c r="L61" s="6">
        <v>265.21600000000001</v>
      </c>
      <c r="N61" s="3">
        <v>36.755076518954176</v>
      </c>
      <c r="O61" s="4">
        <v>253</v>
      </c>
      <c r="Q61" s="3">
        <v>-15.214</v>
      </c>
      <c r="R61" s="4">
        <v>249.565</v>
      </c>
      <c r="W61" s="3">
        <v>22.303000000000001</v>
      </c>
      <c r="X61" s="4">
        <v>239.35400000000001</v>
      </c>
    </row>
    <row r="62" spans="2:27" x14ac:dyDescent="0.35">
      <c r="B62" s="3">
        <v>10.500999999999999</v>
      </c>
      <c r="C62" s="4">
        <v>287.42099999999999</v>
      </c>
      <c r="E62" s="3">
        <v>68.069999999999993</v>
      </c>
      <c r="F62" s="4">
        <v>280.19099999999997</v>
      </c>
      <c r="N62" s="3">
        <v>38.357050613626072</v>
      </c>
      <c r="O62" s="4">
        <v>253.5</v>
      </c>
      <c r="Q62" s="3">
        <v>-13.28</v>
      </c>
      <c r="R62" s="4">
        <v>249.42699999999999</v>
      </c>
      <c r="W62" s="3">
        <v>24.603999999999999</v>
      </c>
      <c r="X62" s="4">
        <v>239.59800000000001</v>
      </c>
    </row>
    <row r="63" spans="2:27" ht="15" thickBot="1" x14ac:dyDescent="0.4">
      <c r="B63" s="3">
        <v>10.965999999999999</v>
      </c>
      <c r="C63" s="4">
        <v>287.17</v>
      </c>
      <c r="E63" s="5">
        <v>73.644000000000005</v>
      </c>
      <c r="F63" s="6">
        <v>281.16300000000001</v>
      </c>
      <c r="N63" s="3">
        <v>40.779162295609417</v>
      </c>
      <c r="O63" s="4">
        <v>254</v>
      </c>
      <c r="Q63" s="3">
        <v>-12.731999999999999</v>
      </c>
      <c r="R63" s="4">
        <v>249.33199999999999</v>
      </c>
      <c r="W63" s="3">
        <v>26.411999999999999</v>
      </c>
      <c r="X63" s="4">
        <v>239.76300000000001</v>
      </c>
    </row>
    <row r="64" spans="2:27" x14ac:dyDescent="0.35">
      <c r="B64" s="13"/>
      <c r="C64" s="11"/>
      <c r="N64" s="3">
        <v>43.417888692945752</v>
      </c>
      <c r="O64" s="4">
        <v>254.5</v>
      </c>
      <c r="Q64" s="3">
        <v>-12.404</v>
      </c>
      <c r="R64" s="4">
        <v>249.279</v>
      </c>
      <c r="W64" s="3">
        <v>29.943000000000001</v>
      </c>
      <c r="X64" s="4">
        <v>240.34800000000001</v>
      </c>
    </row>
    <row r="65" spans="2:24" x14ac:dyDescent="0.35">
      <c r="B65" s="13"/>
      <c r="C65" s="11"/>
      <c r="N65" s="3"/>
      <c r="O65" s="4"/>
      <c r="Q65" s="3">
        <v>-11.766999999999999</v>
      </c>
      <c r="R65" s="4">
        <v>248.85400000000001</v>
      </c>
      <c r="W65" s="3">
        <v>30.969000000000001</v>
      </c>
      <c r="X65" s="4">
        <v>240.559</v>
      </c>
    </row>
    <row r="66" spans="2:24" x14ac:dyDescent="0.35">
      <c r="B66" s="13"/>
      <c r="C66" s="11"/>
      <c r="N66" s="3"/>
      <c r="O66" s="4"/>
      <c r="Q66" s="3">
        <v>-11.026999999999999</v>
      </c>
      <c r="R66" s="4">
        <v>248.374</v>
      </c>
      <c r="W66" s="3">
        <v>31.832000000000001</v>
      </c>
      <c r="X66" s="4">
        <v>240.53800000000001</v>
      </c>
    </row>
    <row r="67" spans="2:24" x14ac:dyDescent="0.35">
      <c r="B67" s="13"/>
      <c r="C67" s="11"/>
      <c r="N67" s="3"/>
      <c r="O67" s="4"/>
      <c r="Q67" s="3">
        <v>-10.345000000000001</v>
      </c>
      <c r="R67" s="4">
        <v>247.904</v>
      </c>
      <c r="W67" s="3">
        <v>32.99</v>
      </c>
      <c r="X67" s="4">
        <v>240.529</v>
      </c>
    </row>
    <row r="68" spans="2:24" x14ac:dyDescent="0.35">
      <c r="B68" s="13"/>
      <c r="C68" s="11"/>
      <c r="N68" s="3"/>
      <c r="O68" s="4"/>
      <c r="Q68" s="3">
        <v>-10.183</v>
      </c>
      <c r="R68" s="4">
        <v>247.815</v>
      </c>
      <c r="W68" s="3">
        <v>58.89</v>
      </c>
      <c r="X68" s="4">
        <v>240.82</v>
      </c>
    </row>
    <row r="69" spans="2:24" x14ac:dyDescent="0.35">
      <c r="B69" s="13"/>
      <c r="C69" s="11"/>
      <c r="N69" s="3"/>
      <c r="O69" s="4"/>
      <c r="Q69" s="3">
        <v>-8.4730000000000008</v>
      </c>
      <c r="R69" s="4">
        <v>247.715</v>
      </c>
      <c r="W69" s="3">
        <v>69.793999999999997</v>
      </c>
      <c r="X69" s="4">
        <v>240.791</v>
      </c>
    </row>
    <row r="70" spans="2:24" x14ac:dyDescent="0.35">
      <c r="B70" s="13"/>
      <c r="C70" s="11"/>
      <c r="N70" s="3"/>
      <c r="O70" s="4"/>
      <c r="Q70" s="3">
        <v>5.6420000000000003</v>
      </c>
      <c r="R70" s="4">
        <v>246.88300000000001</v>
      </c>
      <c r="W70" s="3">
        <v>91.99</v>
      </c>
      <c r="X70" s="4">
        <v>240.554</v>
      </c>
    </row>
    <row r="71" spans="2:24" ht="15" thickBot="1" x14ac:dyDescent="0.4">
      <c r="B71" s="13"/>
      <c r="C71" s="11"/>
      <c r="N71" s="5"/>
      <c r="O71" s="6"/>
      <c r="Q71" s="3">
        <v>10.542</v>
      </c>
      <c r="R71" s="4">
        <v>247.16300000000001</v>
      </c>
      <c r="W71" s="3">
        <v>92.930999999999997</v>
      </c>
      <c r="X71" s="4">
        <v>240.583</v>
      </c>
    </row>
    <row r="72" spans="2:24" x14ac:dyDescent="0.35">
      <c r="B72" s="13"/>
      <c r="C72" s="11"/>
      <c r="Q72" s="3">
        <v>11.236000000000001</v>
      </c>
      <c r="R72" s="4">
        <v>247.18299999999999</v>
      </c>
      <c r="W72" s="3">
        <v>95.662999999999997</v>
      </c>
      <c r="X72" s="4">
        <v>240.69900000000001</v>
      </c>
    </row>
    <row r="73" spans="2:24" x14ac:dyDescent="0.35">
      <c r="B73" s="13"/>
      <c r="C73" s="11"/>
      <c r="Q73" s="3">
        <v>12.279</v>
      </c>
      <c r="R73" s="4">
        <v>247.23</v>
      </c>
      <c r="W73" s="3">
        <v>109.26300000000001</v>
      </c>
      <c r="X73" s="4">
        <v>240.738</v>
      </c>
    </row>
    <row r="74" spans="2:24" x14ac:dyDescent="0.35">
      <c r="B74" s="13"/>
      <c r="C74" s="11"/>
      <c r="Q74" s="3">
        <v>22.946999999999999</v>
      </c>
      <c r="R74" s="4">
        <v>247.58</v>
      </c>
      <c r="W74" s="3">
        <v>120.22799999999999</v>
      </c>
      <c r="X74" s="4">
        <v>241.19300000000001</v>
      </c>
    </row>
    <row r="75" spans="2:24" x14ac:dyDescent="0.35">
      <c r="B75" s="13"/>
      <c r="C75" s="11"/>
      <c r="Q75" s="3">
        <v>25.786999999999999</v>
      </c>
      <c r="R75" s="4">
        <v>247.72</v>
      </c>
      <c r="W75" s="3">
        <v>126.145</v>
      </c>
      <c r="X75" s="4">
        <v>241.52500000000001</v>
      </c>
    </row>
    <row r="76" spans="2:24" x14ac:dyDescent="0.35">
      <c r="B76" s="13"/>
      <c r="C76" s="11"/>
      <c r="Q76" s="3">
        <v>26.216000000000001</v>
      </c>
      <c r="R76" s="4">
        <v>248.357</v>
      </c>
      <c r="W76" s="3">
        <v>134.42699999999999</v>
      </c>
      <c r="X76" s="4">
        <v>241.89500000000001</v>
      </c>
    </row>
    <row r="77" spans="2:24" x14ac:dyDescent="0.35">
      <c r="B77" s="13"/>
      <c r="C77" s="11"/>
      <c r="Q77" s="3">
        <v>26.742999999999999</v>
      </c>
      <c r="R77" s="4">
        <v>249.15</v>
      </c>
      <c r="W77" s="3">
        <v>134.512</v>
      </c>
      <c r="X77" s="4">
        <v>241.89599999999999</v>
      </c>
    </row>
    <row r="78" spans="2:24" x14ac:dyDescent="0.35">
      <c r="B78" s="13"/>
      <c r="C78" s="11"/>
      <c r="Q78" s="3">
        <v>32.689</v>
      </c>
      <c r="R78" s="4">
        <v>249.029</v>
      </c>
      <c r="W78" s="3">
        <v>136.559</v>
      </c>
      <c r="X78" s="4">
        <v>241.96799999999999</v>
      </c>
    </row>
    <row r="79" spans="2:24" x14ac:dyDescent="0.35">
      <c r="B79" s="13"/>
      <c r="C79" s="11"/>
      <c r="Q79" s="3">
        <v>39.305999999999997</v>
      </c>
      <c r="R79" s="4">
        <v>248.97</v>
      </c>
      <c r="W79" s="3">
        <v>139.744</v>
      </c>
      <c r="X79" s="4">
        <v>242.542</v>
      </c>
    </row>
    <row r="80" spans="2:24" x14ac:dyDescent="0.35">
      <c r="B80" s="13"/>
      <c r="C80" s="11"/>
      <c r="Q80" s="3">
        <v>40.156999999999996</v>
      </c>
      <c r="R80" s="4">
        <v>249.017</v>
      </c>
      <c r="W80" s="3">
        <v>140.191</v>
      </c>
      <c r="X80" s="4">
        <v>242.65700000000001</v>
      </c>
    </row>
    <row r="81" spans="2:24" ht="15" thickBot="1" x14ac:dyDescent="0.4">
      <c r="B81" s="13"/>
      <c r="C81" s="11"/>
      <c r="Q81" s="5">
        <v>42.481000000000002</v>
      </c>
      <c r="R81" s="6">
        <v>249.13499999999999</v>
      </c>
      <c r="W81" s="3">
        <v>140.434</v>
      </c>
      <c r="X81" s="4">
        <v>242.708</v>
      </c>
    </row>
    <row r="82" spans="2:24" x14ac:dyDescent="0.35">
      <c r="B82" s="13"/>
      <c r="C82" s="11"/>
      <c r="W82" s="3">
        <v>140.92699999999999</v>
      </c>
      <c r="X82" s="4">
        <v>242.82400000000001</v>
      </c>
    </row>
    <row r="83" spans="2:24" x14ac:dyDescent="0.35">
      <c r="B83" s="13"/>
      <c r="C83" s="11"/>
      <c r="W83" s="3">
        <v>152.88300000000001</v>
      </c>
      <c r="X83" s="4">
        <v>245.227</v>
      </c>
    </row>
    <row r="84" spans="2:24" x14ac:dyDescent="0.35">
      <c r="B84" s="13"/>
      <c r="C84" s="11"/>
      <c r="W84" s="3">
        <v>162.345</v>
      </c>
      <c r="X84" s="4">
        <v>247.03</v>
      </c>
    </row>
    <row r="85" spans="2:24" x14ac:dyDescent="0.35">
      <c r="B85" s="13"/>
      <c r="C85" s="11"/>
      <c r="W85" s="3">
        <v>165.184</v>
      </c>
      <c r="X85" s="4">
        <v>247.42400000000001</v>
      </c>
    </row>
    <row r="86" spans="2:24" x14ac:dyDescent="0.35">
      <c r="B86" s="13"/>
      <c r="C86" s="11"/>
      <c r="W86" s="3">
        <v>170.185</v>
      </c>
      <c r="X86" s="4">
        <v>248.38499999999999</v>
      </c>
    </row>
    <row r="87" spans="2:24" x14ac:dyDescent="0.35">
      <c r="B87" s="13"/>
      <c r="C87" s="11"/>
      <c r="W87" s="3">
        <v>174.55</v>
      </c>
      <c r="X87" s="4">
        <v>249.28299999999999</v>
      </c>
    </row>
    <row r="88" spans="2:24" x14ac:dyDescent="0.35">
      <c r="B88" s="13"/>
      <c r="C88" s="11"/>
      <c r="W88" s="3">
        <v>178.328</v>
      </c>
      <c r="X88" s="4">
        <v>250.303</v>
      </c>
    </row>
    <row r="89" spans="2:24" x14ac:dyDescent="0.35">
      <c r="B89" s="13"/>
      <c r="C89" s="11"/>
      <c r="W89" s="3">
        <v>184.62899999999999</v>
      </c>
      <c r="X89" s="4">
        <v>251.49700000000001</v>
      </c>
    </row>
    <row r="90" spans="2:24" x14ac:dyDescent="0.35">
      <c r="B90" s="13"/>
      <c r="C90" s="11"/>
      <c r="W90" s="3">
        <v>189.494</v>
      </c>
      <c r="X90" s="4">
        <v>252.566</v>
      </c>
    </row>
    <row r="91" spans="2:24" x14ac:dyDescent="0.35">
      <c r="B91" s="13"/>
      <c r="C91" s="11"/>
      <c r="W91" s="3">
        <v>194.774</v>
      </c>
      <c r="X91" s="4">
        <v>253.75700000000001</v>
      </c>
    </row>
    <row r="92" spans="2:24" x14ac:dyDescent="0.35">
      <c r="B92" s="13"/>
      <c r="C92" s="11"/>
      <c r="W92" s="3">
        <v>204.21199999999999</v>
      </c>
      <c r="X92" s="4">
        <v>255.476</v>
      </c>
    </row>
    <row r="93" spans="2:24" x14ac:dyDescent="0.35">
      <c r="B93" s="13"/>
      <c r="C93" s="11"/>
      <c r="W93" s="3">
        <v>208.28899999999999</v>
      </c>
      <c r="X93" s="4">
        <v>256.42399999999998</v>
      </c>
    </row>
    <row r="94" spans="2:24" x14ac:dyDescent="0.35">
      <c r="B94" s="13"/>
      <c r="C94" s="11"/>
      <c r="W94" s="3">
        <v>221.96199999999999</v>
      </c>
      <c r="X94" s="4">
        <v>256.79300000000001</v>
      </c>
    </row>
    <row r="95" spans="2:24" x14ac:dyDescent="0.35">
      <c r="B95" s="13"/>
      <c r="C95" s="11"/>
      <c r="W95" s="3">
        <v>224.51400000000001</v>
      </c>
      <c r="X95" s="4">
        <v>256.995</v>
      </c>
    </row>
    <row r="96" spans="2:24" x14ac:dyDescent="0.35">
      <c r="B96" s="13"/>
      <c r="C96" s="11"/>
      <c r="W96" s="3">
        <v>232.99799999999999</v>
      </c>
      <c r="X96" s="4">
        <v>257.94799999999998</v>
      </c>
    </row>
    <row r="97" spans="2:24" x14ac:dyDescent="0.35">
      <c r="B97" s="13"/>
      <c r="C97" s="11"/>
      <c r="W97" s="3">
        <v>238.67400000000001</v>
      </c>
      <c r="X97" s="4">
        <v>258.29700000000003</v>
      </c>
    </row>
    <row r="98" spans="2:24" x14ac:dyDescent="0.35">
      <c r="B98" s="13"/>
      <c r="C98" s="11"/>
      <c r="W98" s="3">
        <v>245.35400000000001</v>
      </c>
      <c r="X98" s="4">
        <v>258.8</v>
      </c>
    </row>
    <row r="99" spans="2:24" x14ac:dyDescent="0.35">
      <c r="B99" s="13"/>
      <c r="C99" s="11"/>
      <c r="W99" s="3">
        <v>246.876</v>
      </c>
      <c r="X99" s="4">
        <v>258.82100000000003</v>
      </c>
    </row>
    <row r="100" spans="2:24" x14ac:dyDescent="0.35">
      <c r="B100" s="13"/>
      <c r="C100" s="11"/>
      <c r="W100" s="3">
        <v>249.68600000000001</v>
      </c>
      <c r="X100" s="4">
        <v>258.755</v>
      </c>
    </row>
    <row r="101" spans="2:24" x14ac:dyDescent="0.35">
      <c r="B101" s="13"/>
      <c r="C101" s="11"/>
      <c r="W101" s="3">
        <v>257.00400000000002</v>
      </c>
      <c r="X101" s="4">
        <v>259.17200000000003</v>
      </c>
    </row>
    <row r="102" spans="2:24" x14ac:dyDescent="0.35">
      <c r="B102" s="13"/>
      <c r="C102" s="11"/>
      <c r="W102" s="3">
        <v>264.36900000000003</v>
      </c>
      <c r="X102" s="4">
        <v>259.57799999999997</v>
      </c>
    </row>
    <row r="103" spans="2:24" x14ac:dyDescent="0.35">
      <c r="B103" s="13"/>
      <c r="C103" s="11"/>
      <c r="W103" s="3">
        <v>264.64299999999997</v>
      </c>
      <c r="X103" s="4">
        <v>259.57900000000001</v>
      </c>
    </row>
    <row r="104" spans="2:24" x14ac:dyDescent="0.35">
      <c r="B104" s="13"/>
      <c r="C104" s="11"/>
      <c r="W104" s="3">
        <v>267.971</v>
      </c>
      <c r="X104" s="4">
        <v>259.798</v>
      </c>
    </row>
    <row r="105" spans="2:24" ht="15" thickBot="1" x14ac:dyDescent="0.4">
      <c r="B105" s="13"/>
      <c r="C105" s="11"/>
      <c r="W105" s="5">
        <v>268.46499999999997</v>
      </c>
      <c r="X105" s="6">
        <v>261.38099999999997</v>
      </c>
    </row>
    <row r="106" spans="2:24" x14ac:dyDescent="0.35">
      <c r="B106" s="13"/>
      <c r="C106" s="11"/>
    </row>
    <row r="107" spans="2:24" x14ac:dyDescent="0.35">
      <c r="B107" s="13"/>
      <c r="C107" s="11"/>
    </row>
    <row r="108" spans="2:24" x14ac:dyDescent="0.35">
      <c r="B108" s="13"/>
      <c r="C108" s="11"/>
    </row>
    <row r="109" spans="2:24" x14ac:dyDescent="0.35">
      <c r="B109" s="13"/>
      <c r="C109" s="11"/>
    </row>
    <row r="110" spans="2:24" x14ac:dyDescent="0.35">
      <c r="B110" s="13"/>
      <c r="C110" s="11"/>
    </row>
    <row r="111" spans="2:24" x14ac:dyDescent="0.35">
      <c r="B111" s="13"/>
      <c r="C111" s="11"/>
    </row>
    <row r="112" spans="2:24" x14ac:dyDescent="0.35">
      <c r="B112" s="13"/>
      <c r="C112" s="11"/>
    </row>
    <row r="113" spans="2:3" x14ac:dyDescent="0.35">
      <c r="B113" s="13"/>
      <c r="C113" s="11"/>
    </row>
    <row r="114" spans="2:3" x14ac:dyDescent="0.35">
      <c r="B114" s="13"/>
      <c r="C114" s="11"/>
    </row>
    <row r="115" spans="2:3" x14ac:dyDescent="0.35">
      <c r="B115" s="13"/>
      <c r="C115" s="11"/>
    </row>
    <row r="116" spans="2:3" x14ac:dyDescent="0.35">
      <c r="B116" s="13"/>
      <c r="C116" s="11"/>
    </row>
    <row r="117" spans="2:3" x14ac:dyDescent="0.35">
      <c r="B117" s="13"/>
      <c r="C117" s="11"/>
    </row>
    <row r="118" spans="2:3" x14ac:dyDescent="0.35">
      <c r="B118" s="13"/>
      <c r="C118" s="11"/>
    </row>
    <row r="119" spans="2:3" x14ac:dyDescent="0.35">
      <c r="B119" s="13"/>
      <c r="C119" s="11"/>
    </row>
    <row r="120" spans="2:3" x14ac:dyDescent="0.35">
      <c r="B120" s="13"/>
      <c r="C120" s="11"/>
    </row>
    <row r="121" spans="2:3" x14ac:dyDescent="0.35">
      <c r="B121" s="13"/>
      <c r="C121" s="11"/>
    </row>
    <row r="122" spans="2:3" x14ac:dyDescent="0.35">
      <c r="B122" s="13"/>
      <c r="C122" s="11"/>
    </row>
    <row r="123" spans="2:3" x14ac:dyDescent="0.35">
      <c r="B123" s="13"/>
      <c r="C123" s="11"/>
    </row>
    <row r="124" spans="2:3" x14ac:dyDescent="0.35">
      <c r="B124" s="13"/>
      <c r="C124" s="11"/>
    </row>
    <row r="125" spans="2:3" x14ac:dyDescent="0.35">
      <c r="B125" s="13"/>
      <c r="C125" s="11"/>
    </row>
    <row r="126" spans="2:3" x14ac:dyDescent="0.35">
      <c r="B126" s="13"/>
      <c r="C126" s="11"/>
    </row>
    <row r="127" spans="2:3" x14ac:dyDescent="0.35">
      <c r="B127" s="13"/>
      <c r="C127" s="11"/>
    </row>
    <row r="128" spans="2:3" x14ac:dyDescent="0.35">
      <c r="B128" s="13"/>
      <c r="C128" s="11"/>
    </row>
    <row r="129" spans="2:3" x14ac:dyDescent="0.35">
      <c r="B129" s="13"/>
      <c r="C129" s="11"/>
    </row>
    <row r="130" spans="2:3" x14ac:dyDescent="0.35">
      <c r="B130" s="13"/>
      <c r="C130" s="11"/>
    </row>
    <row r="131" spans="2:3" x14ac:dyDescent="0.35">
      <c r="B131" s="13"/>
      <c r="C131" s="11"/>
    </row>
    <row r="132" spans="2:3" x14ac:dyDescent="0.35">
      <c r="B132" s="13"/>
      <c r="C132" s="11"/>
    </row>
    <row r="133" spans="2:3" x14ac:dyDescent="0.35">
      <c r="B133" s="13"/>
      <c r="C133" s="11"/>
    </row>
    <row r="134" spans="2:3" x14ac:dyDescent="0.35">
      <c r="B134" s="13"/>
      <c r="C134" s="11"/>
    </row>
    <row r="135" spans="2:3" x14ac:dyDescent="0.35">
      <c r="B135" s="13"/>
      <c r="C135" s="11"/>
    </row>
    <row r="136" spans="2:3" x14ac:dyDescent="0.35">
      <c r="B136" s="13"/>
      <c r="C136" s="11"/>
    </row>
    <row r="137" spans="2:3" x14ac:dyDescent="0.35">
      <c r="B137" s="13"/>
      <c r="C137" s="11"/>
    </row>
    <row r="138" spans="2:3" x14ac:dyDescent="0.35">
      <c r="B138" s="13"/>
      <c r="C138" s="11"/>
    </row>
    <row r="139" spans="2:3" x14ac:dyDescent="0.35">
      <c r="B139" s="13"/>
      <c r="C139" s="11"/>
    </row>
    <row r="140" spans="2:3" x14ac:dyDescent="0.35">
      <c r="B140" s="13"/>
      <c r="C140" s="11"/>
    </row>
    <row r="141" spans="2:3" x14ac:dyDescent="0.35">
      <c r="B141" s="13"/>
      <c r="C141" s="11"/>
    </row>
    <row r="142" spans="2:3" x14ac:dyDescent="0.35">
      <c r="B142" s="13"/>
      <c r="C142" s="11"/>
    </row>
    <row r="143" spans="2:3" x14ac:dyDescent="0.35">
      <c r="B143" s="13"/>
      <c r="C143" s="11"/>
    </row>
    <row r="144" spans="2:3" x14ac:dyDescent="0.35">
      <c r="B144" s="13"/>
      <c r="C144" s="11"/>
    </row>
    <row r="145" spans="2:3" x14ac:dyDescent="0.35">
      <c r="B145" s="13"/>
      <c r="C145" s="11"/>
    </row>
    <row r="146" spans="2:3" x14ac:dyDescent="0.35">
      <c r="B146" s="13"/>
      <c r="C146" s="11"/>
    </row>
    <row r="147" spans="2:3" x14ac:dyDescent="0.35">
      <c r="B147" s="13"/>
      <c r="C147" s="11"/>
    </row>
    <row r="148" spans="2:3" x14ac:dyDescent="0.35">
      <c r="B148" s="13"/>
      <c r="C148" s="11"/>
    </row>
    <row r="149" spans="2:3" x14ac:dyDescent="0.35">
      <c r="B149" s="13"/>
      <c r="C149" s="11"/>
    </row>
    <row r="150" spans="2:3" x14ac:dyDescent="0.35">
      <c r="B150" s="13"/>
      <c r="C150" s="11"/>
    </row>
    <row r="151" spans="2:3" x14ac:dyDescent="0.35">
      <c r="B151" s="13"/>
      <c r="C151" s="11"/>
    </row>
    <row r="152" spans="2:3" x14ac:dyDescent="0.35">
      <c r="B152" s="13"/>
      <c r="C152" s="11"/>
    </row>
    <row r="153" spans="2:3" x14ac:dyDescent="0.35">
      <c r="B153" s="13"/>
      <c r="C153" s="11"/>
    </row>
    <row r="154" spans="2:3" x14ac:dyDescent="0.35">
      <c r="B154" s="13"/>
      <c r="C154" s="11"/>
    </row>
    <row r="155" spans="2:3" x14ac:dyDescent="0.35">
      <c r="B155" s="13"/>
      <c r="C155" s="11"/>
    </row>
    <row r="156" spans="2:3" x14ac:dyDescent="0.35">
      <c r="B156" s="13"/>
      <c r="C156" s="11"/>
    </row>
    <row r="157" spans="2:3" x14ac:dyDescent="0.35">
      <c r="B157" s="13"/>
      <c r="C157" s="11"/>
    </row>
    <row r="158" spans="2:3" x14ac:dyDescent="0.35">
      <c r="B158" s="13"/>
      <c r="C158" s="11"/>
    </row>
    <row r="159" spans="2:3" x14ac:dyDescent="0.35">
      <c r="B159" s="13"/>
      <c r="C159" s="11"/>
    </row>
    <row r="160" spans="2:3" x14ac:dyDescent="0.35">
      <c r="B160" s="13"/>
      <c r="C160" s="11"/>
    </row>
    <row r="161" spans="2:3" x14ac:dyDescent="0.35">
      <c r="B161" s="13"/>
      <c r="C161" s="11"/>
    </row>
    <row r="162" spans="2:3" x14ac:dyDescent="0.35">
      <c r="B162" s="13"/>
      <c r="C162" s="11"/>
    </row>
    <row r="163" spans="2:3" x14ac:dyDescent="0.35">
      <c r="B163" s="13"/>
      <c r="C163" s="11"/>
    </row>
    <row r="164" spans="2:3" x14ac:dyDescent="0.35">
      <c r="B164" s="13"/>
      <c r="C164" s="11"/>
    </row>
    <row r="165" spans="2:3" x14ac:dyDescent="0.35">
      <c r="B165" s="13"/>
      <c r="C165" s="11"/>
    </row>
    <row r="166" spans="2:3" x14ac:dyDescent="0.35">
      <c r="B166" s="13"/>
      <c r="C166" s="11"/>
    </row>
    <row r="167" spans="2:3" x14ac:dyDescent="0.35">
      <c r="B167" s="13"/>
      <c r="C167" s="11"/>
    </row>
    <row r="168" spans="2:3" x14ac:dyDescent="0.35">
      <c r="B168" s="13"/>
      <c r="C168" s="11"/>
    </row>
    <row r="169" spans="2:3" x14ac:dyDescent="0.35">
      <c r="B169" s="13"/>
      <c r="C169" s="11"/>
    </row>
    <row r="170" spans="2:3" x14ac:dyDescent="0.35">
      <c r="B170" s="13"/>
      <c r="C170" s="11"/>
    </row>
    <row r="171" spans="2:3" x14ac:dyDescent="0.35">
      <c r="B171" s="13"/>
      <c r="C171" s="11"/>
    </row>
    <row r="172" spans="2:3" x14ac:dyDescent="0.35">
      <c r="B172" s="13"/>
      <c r="C172" s="11"/>
    </row>
    <row r="173" spans="2:3" x14ac:dyDescent="0.35">
      <c r="B173" s="13"/>
      <c r="C173" s="11"/>
    </row>
    <row r="174" spans="2:3" x14ac:dyDescent="0.35">
      <c r="B174" s="13"/>
      <c r="C174" s="11"/>
    </row>
    <row r="175" spans="2:3" x14ac:dyDescent="0.35">
      <c r="B175" s="13"/>
      <c r="C175" s="11"/>
    </row>
    <row r="176" spans="2:3" x14ac:dyDescent="0.35">
      <c r="B176" s="13"/>
      <c r="C176" s="11"/>
    </row>
    <row r="177" spans="2:3" x14ac:dyDescent="0.35">
      <c r="B177" s="13"/>
      <c r="C177" s="11"/>
    </row>
    <row r="178" spans="2:3" x14ac:dyDescent="0.35">
      <c r="B178" s="13"/>
      <c r="C178" s="11"/>
    </row>
    <row r="179" spans="2:3" x14ac:dyDescent="0.35">
      <c r="B179" s="13"/>
      <c r="C179" s="11"/>
    </row>
    <row r="180" spans="2:3" x14ac:dyDescent="0.35">
      <c r="B180" s="13"/>
      <c r="C180" s="11"/>
    </row>
    <row r="181" spans="2:3" x14ac:dyDescent="0.35">
      <c r="B181" s="13"/>
      <c r="C181" s="11"/>
    </row>
    <row r="182" spans="2:3" x14ac:dyDescent="0.35">
      <c r="B182" s="13"/>
      <c r="C182" s="11"/>
    </row>
    <row r="183" spans="2:3" x14ac:dyDescent="0.35">
      <c r="B183" s="13"/>
      <c r="C183" s="11"/>
    </row>
    <row r="184" spans="2:3" x14ac:dyDescent="0.35">
      <c r="B184" s="13"/>
      <c r="C184" s="11"/>
    </row>
    <row r="185" spans="2:3" x14ac:dyDescent="0.35">
      <c r="B185" s="13"/>
      <c r="C185" s="11"/>
    </row>
    <row r="186" spans="2:3" x14ac:dyDescent="0.35">
      <c r="B186" s="13"/>
      <c r="C186" s="11"/>
    </row>
    <row r="187" spans="2:3" x14ac:dyDescent="0.35">
      <c r="B187" s="13"/>
      <c r="C187" s="11"/>
    </row>
    <row r="188" spans="2:3" x14ac:dyDescent="0.35">
      <c r="B188" s="13"/>
      <c r="C188" s="11"/>
    </row>
    <row r="189" spans="2:3" ht="15" thickBot="1" x14ac:dyDescent="0.4">
      <c r="B189" s="14"/>
      <c r="C189" s="12"/>
    </row>
  </sheetData>
  <mergeCells count="19">
    <mergeCell ref="B2:F2"/>
    <mergeCell ref="T5:U5"/>
    <mergeCell ref="Q4:R4"/>
    <mergeCell ref="T4:U4"/>
    <mergeCell ref="W4:X4"/>
    <mergeCell ref="Z4:AA4"/>
    <mergeCell ref="B4:C4"/>
    <mergeCell ref="E4:F4"/>
    <mergeCell ref="W5:X5"/>
    <mergeCell ref="Z5:AA5"/>
    <mergeCell ref="B5:C5"/>
    <mergeCell ref="E5:F5"/>
    <mergeCell ref="H5:I5"/>
    <mergeCell ref="K5:L5"/>
    <mergeCell ref="N5:O5"/>
    <mergeCell ref="Q5:R5"/>
    <mergeCell ref="H4:I4"/>
    <mergeCell ref="K4:L4"/>
    <mergeCell ref="N4:O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 Section</vt:lpstr>
      <vt:lpstr>Cross Sections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Koen</dc:creator>
  <cp:lastModifiedBy>Johnson, KA, Dr [katelynj@sun.ac.za]</cp:lastModifiedBy>
  <dcterms:created xsi:type="dcterms:W3CDTF">2017-02-22T10:54:19Z</dcterms:created>
  <dcterms:modified xsi:type="dcterms:W3CDTF">2026-02-19T14:38:43Z</dcterms:modified>
</cp:coreProperties>
</file>